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castatymellocombr.sharepoint.com/sites/OticasTatyMello/Shared Documents/Tecnologia_da_Informação/CRM_ERP/banco_de_dados/lentes/tabelaslentes/Processado/"/>
    </mc:Choice>
  </mc:AlternateContent>
  <xr:revisionPtr revIDLastSave="145" documentId="8_{91A97BE4-DA0E-4981-9464-ED2FDFAA326B}" xr6:coauthVersionLast="47" xr6:coauthVersionMax="47" xr10:uidLastSave="{EDDC0A78-CF11-4392-8236-4E12007BBA67}"/>
  <bookViews>
    <workbookView xWindow="28680" yWindow="-120" windowWidth="29040" windowHeight="15720" activeTab="2" xr2:uid="{95DA1D6F-D1AB-4039-8AD4-46351B939060}"/>
  </bookViews>
  <sheets>
    <sheet name="vs" sheetId="1" r:id="rId1"/>
    <sheet name="ocupacional" sheetId="2" r:id="rId2"/>
    <sheet name="especia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" i="3" l="1"/>
  <c r="R34" i="3"/>
  <c r="Q15" i="3"/>
  <c r="R14" i="3"/>
  <c r="R13" i="3"/>
  <c r="R12" i="3"/>
  <c r="R11" i="3"/>
  <c r="Q10" i="3"/>
</calcChain>
</file>

<file path=xl/sharedStrings.xml><?xml version="1.0" encoding="utf-8"?>
<sst xmlns="http://schemas.openxmlformats.org/spreadsheetml/2006/main" count="1142" uniqueCount="128">
  <si>
    <t>fornecedor</t>
  </si>
  <si>
    <t>linha</t>
  </si>
  <si>
    <t>modelo</t>
  </si>
  <si>
    <t>tipo_lente</t>
  </si>
  <si>
    <t>design</t>
  </si>
  <si>
    <t>cor</t>
  </si>
  <si>
    <t>HOYA</t>
  </si>
  <si>
    <t>NULUX</t>
  </si>
  <si>
    <t>SIM</t>
  </si>
  <si>
    <t>HILUX</t>
  </si>
  <si>
    <t>observacoes</t>
  </si>
  <si>
    <t>BlueControl</t>
  </si>
  <si>
    <t>Asférica</t>
  </si>
  <si>
    <t>Incolor</t>
  </si>
  <si>
    <t>LongLife UV</t>
  </si>
  <si>
    <t>LongLife</t>
  </si>
  <si>
    <t>No-Risk</t>
  </si>
  <si>
    <t>Hard</t>
  </si>
  <si>
    <t>Sensity 2</t>
  </si>
  <si>
    <t>tratamento</t>
  </si>
  <si>
    <t>ar</t>
  </si>
  <si>
    <t>eyvia_1_74</t>
  </si>
  <si>
    <t>eynoa_1_67</t>
  </si>
  <si>
    <t>eyas_1_60</t>
  </si>
  <si>
    <t>pnx_1_53</t>
  </si>
  <si>
    <t>organic_1_50</t>
  </si>
  <si>
    <t>esferico</t>
  </si>
  <si>
    <t>cilindrico</t>
  </si>
  <si>
    <t>adicao</t>
  </si>
  <si>
    <t>diametros</t>
  </si>
  <si>
    <t>Miolight (neg) / Hiperlight (pos)</t>
  </si>
  <si>
    <t>Visão Simples</t>
  </si>
  <si>
    <t>-10,00 a +6,00</t>
  </si>
  <si>
    <t>0,00 a -3,00</t>
  </si>
  <si>
    <t>N/A</t>
  </si>
  <si>
    <t>65 / 70 / 75</t>
  </si>
  <si>
    <t>Miolight para graus negativos e Hiperlight para positivos</t>
  </si>
  <si>
    <t>0,00 a -2,00</t>
  </si>
  <si>
    <t>-12,00 a -2,00</t>
  </si>
  <si>
    <t>No-Risk BlueControl</t>
  </si>
  <si>
    <t>Lente disponível enquanto durarem os estoques</t>
  </si>
  <si>
    <t>-6,00 a +6,00</t>
  </si>
  <si>
    <t>65 / 70</t>
  </si>
  <si>
    <t>-8,00 a +6,00</t>
  </si>
  <si>
    <t>VS Premium</t>
  </si>
  <si>
    <t>-4,00 a +4,00</t>
  </si>
  <si>
    <t>748,00*</t>
  </si>
  <si>
    <t>-4,00 a +2,00</t>
  </si>
  <si>
    <t>CleanExtra</t>
  </si>
  <si>
    <t>-3,00 a +2,00</t>
  </si>
  <si>
    <t>WORKSTYLE V+</t>
  </si>
  <si>
    <t>Digital personalizada</t>
  </si>
  <si>
    <t>Workstyle V+</t>
  </si>
  <si>
    <t>Ocupacional</t>
  </si>
  <si>
    <t>-15,00 a +9,00</t>
  </si>
  <si>
    <t>0,00 a -6,00</t>
  </si>
  <si>
    <t>1,00 a 3,50</t>
  </si>
  <si>
    <t>até 80</t>
  </si>
  <si>
    <t>Lente ocupacional para trabalho; alturas 15–18mm; produção fora do Brasil</t>
  </si>
  <si>
    <t>DESKTOP Premium</t>
  </si>
  <si>
    <t>Desktop Premium</t>
  </si>
  <si>
    <t>0,00 a -4,00</t>
  </si>
  <si>
    <t>até 70</t>
  </si>
  <si>
    <t>Altura de montagem 18mm</t>
  </si>
  <si>
    <t>Colors</t>
  </si>
  <si>
    <t>Sun Pro / Coloração</t>
  </si>
  <si>
    <t>2117,00 +140,00</t>
  </si>
  <si>
    <t>1793,00 +120,00</t>
  </si>
  <si>
    <t>Valores adicionais para coloração; altura de montagem 18mm</t>
  </si>
  <si>
    <t>MiYOSMART</t>
  </si>
  <si>
    <t>Especial – Controle de Miopia</t>
  </si>
  <si>
    <t>-6,00 a 0,00</t>
  </si>
  <si>
    <t>até 73</t>
  </si>
  <si>
    <t>Lente especial para controle da progressão da miopia (D.I.M.S. Technology)</t>
  </si>
  <si>
    <t>Fotossensível</t>
  </si>
  <si>
    <t>60 a 75</t>
  </si>
  <si>
    <t>Versão fotossensível disponível sob pedido</t>
  </si>
  <si>
    <t>Polarizada</t>
  </si>
  <si>
    <t>Versão polarizada disponível sob pedido</t>
  </si>
  <si>
    <t>SYNC</t>
  </si>
  <si>
    <t>Especial – Vida Digital</t>
  </si>
  <si>
    <t>-13,00 a +9,00</t>
  </si>
  <si>
    <t>Lente digital com suporte acomodativo (versões 5/9/13)</t>
  </si>
  <si>
    <t>Sensity 2 + BlueControl</t>
  </si>
  <si>
    <t>Fotossensível com controle de luz e foco digital</t>
  </si>
  <si>
    <t>Sensity 2 + No-Risk BC</t>
  </si>
  <si>
    <t>Fotossensível com BlueControl sem risco</t>
  </si>
  <si>
    <t>Sun Pro</t>
  </si>
  <si>
    <t>-8,00 a +3,00</t>
  </si>
  <si>
    <t>até 76</t>
  </si>
  <si>
    <t>Lente polarizada para uso digital e externo</t>
  </si>
  <si>
    <t>Colorida</t>
  </si>
  <si>
    <t>Coloração</t>
  </si>
  <si>
    <t>Adicionar valor de coloração conforme material</t>
  </si>
  <si>
    <t>ENROUTE</t>
  </si>
  <si>
    <t>Hoylux EnRoute</t>
  </si>
  <si>
    <t>Especial – Direção</t>
  </si>
  <si>
    <t>EnRoute</t>
  </si>
  <si>
    <t>-12,00 a +6,00</t>
  </si>
  <si>
    <t>+0,75 a +3,50</t>
  </si>
  <si>
    <t>até 75</t>
  </si>
  <si>
    <t>Lente para direção com RP43 e controle de contraste</t>
  </si>
  <si>
    <t>Asférica / Atórica</t>
  </si>
  <si>
    <t>Miolight / Hiperlight EnRoute</t>
  </si>
  <si>
    <t>-15,00 a +6,00</t>
  </si>
  <si>
    <t>—</t>
  </si>
  <si>
    <t>Versão Miolight nas negativas e Hiperlight nas positivas</t>
  </si>
  <si>
    <t>poli_1_59</t>
  </si>
  <si>
    <t>SPORTIVE</t>
  </si>
  <si>
    <t>Hoylux Sportive</t>
  </si>
  <si>
    <t>Especial – Esporte</t>
  </si>
  <si>
    <t>-5,00 a +4,00</t>
  </si>
  <si>
    <t>+1,00 a +2,50</t>
  </si>
  <si>
    <t>Incolor com BlueControl</t>
  </si>
  <si>
    <t>Incolor com LongLife</t>
  </si>
  <si>
    <t>Incolor com No-Risk BlueControl</t>
  </si>
  <si>
    <t>Incolor com No-Risk</t>
  </si>
  <si>
    <t>Incolor com CleanExtra</t>
  </si>
  <si>
    <t>Incolor com Hard</t>
  </si>
  <si>
    <t>Sensity 2 fotossensível</t>
  </si>
  <si>
    <t>CleanExtra / Hard</t>
  </si>
  <si>
    <t>até 79</t>
  </si>
  <si>
    <t>Polarizada esportiva</t>
  </si>
  <si>
    <t>Acréscimo de coloração</t>
  </si>
  <si>
    <t>Mio/Hiperlight</t>
  </si>
  <si>
    <t>Incolor esportiva</t>
  </si>
  <si>
    <t>Sensity 2 esportiva</t>
  </si>
  <si>
    <t>-3,50 a +4,00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</si>
</sst>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69FC-CD88-4208-8410-8232BEC235EB}">
  <dimension ref="A1:S18"/>
  <sheetViews>
    <sheetView workbookViewId="0">
      <selection activeCell="A18" sqref="A18:T18"/>
    </sheetView>
  </sheetViews>
  <sheetFormatPr defaultRowHeight="15" x14ac:dyDescent="0.25"/>
  <cols>
    <col min="1" max="1" width="10.5703125" bestFit="1" customWidth="1"/>
    <col min="2" max="2" width="7" bestFit="1" customWidth="1"/>
    <col min="3" max="3" width="8.140625" bestFit="1" customWidth="1"/>
    <col min="4" max="4" width="29" bestFit="1" customWidth="1"/>
    <col min="5" max="5" width="13.5703125" bestFit="1" customWidth="1"/>
    <col min="6" max="6" width="8.5703125" bestFit="1" customWidth="1"/>
    <col min="7" max="7" width="19" bestFit="1" customWidth="1"/>
    <col min="8" max="8" width="4.140625" bestFit="1" customWidth="1"/>
    <col min="9" max="9" width="10.140625" bestFit="1" customWidth="1"/>
    <col min="10" max="10" width="11" bestFit="1" customWidth="1"/>
    <col min="11" max="11" width="9.7109375" bestFit="1" customWidth="1"/>
    <col min="12" max="12" width="8.85546875" bestFit="1" customWidth="1"/>
    <col min="13" max="13" width="12.42578125" bestFit="1" customWidth="1"/>
    <col min="14" max="14" width="12.85546875" bestFit="1" customWidth="1"/>
    <col min="15" max="15" width="10.85546875" bestFit="1" customWidth="1"/>
    <col min="16" max="16" width="7.140625" bestFit="1" customWidth="1"/>
    <col min="17" max="17" width="10.140625" bestFit="1" customWidth="1"/>
    <col min="18" max="18" width="51.85546875" bestFit="1" customWidth="1"/>
    <col min="19" max="19" width="20.42578125" bestFit="1" customWidth="1"/>
    <col min="20" max="20" width="24.5703125" bestFit="1" customWidth="1"/>
    <col min="21" max="21" width="12.42578125" bestFit="1" customWidth="1"/>
    <col min="22" max="22" width="7.140625" bestFit="1" customWidth="1"/>
    <col min="23" max="23" width="16" bestFit="1" customWidth="1"/>
    <col min="24" max="24" width="48.140625" bestFit="1" customWidth="1"/>
    <col min="25" max="25" width="8.7109375" bestFit="1" customWidth="1"/>
    <col min="26" max="26" width="9" bestFit="1" customWidth="1"/>
    <col min="27" max="27" width="7.5703125" bestFit="1" customWidth="1"/>
    <col min="28" max="28" width="17.5703125" bestFit="1" customWidth="1"/>
    <col min="29" max="31" width="11.85546875" bestFit="1" customWidth="1"/>
    <col min="32" max="32" width="18.140625" bestFit="1" customWidth="1"/>
    <col min="33" max="33" width="18.85546875" bestFit="1" customWidth="1"/>
    <col min="34" max="34" width="17.5703125" bestFit="1" customWidth="1"/>
    <col min="35" max="35" width="18.85546875" bestFit="1" customWidth="1"/>
    <col min="36" max="36" width="17.5703125" bestFit="1" customWidth="1"/>
    <col min="37" max="37" width="18.85546875" bestFit="1" customWidth="1"/>
    <col min="38" max="38" width="17.5703125" bestFit="1" customWidth="1"/>
    <col min="39" max="39" width="11.7109375" bestFit="1" customWidth="1"/>
    <col min="40" max="40" width="12.42578125" bestFit="1" customWidth="1"/>
    <col min="41" max="41" width="7.140625" bestFit="1" customWidth="1"/>
  </cols>
  <sheetData>
    <row r="1" spans="1:19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10</v>
      </c>
    </row>
    <row r="2" spans="1:19" x14ac:dyDescent="0.25">
      <c r="A2" t="s">
        <v>6</v>
      </c>
      <c r="B2" t="s">
        <v>7</v>
      </c>
      <c r="C2" t="s">
        <v>12</v>
      </c>
      <c r="D2" t="s">
        <v>30</v>
      </c>
      <c r="E2" t="s">
        <v>31</v>
      </c>
      <c r="F2" t="s">
        <v>13</v>
      </c>
      <c r="G2" t="s">
        <v>11</v>
      </c>
      <c r="H2" t="s">
        <v>8</v>
      </c>
      <c r="J2">
        <v>1320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</row>
    <row r="3" spans="1:19" x14ac:dyDescent="0.25">
      <c r="A3" t="s">
        <v>6</v>
      </c>
      <c r="B3" t="s">
        <v>7</v>
      </c>
      <c r="C3" t="s">
        <v>12</v>
      </c>
      <c r="D3" t="s">
        <v>30</v>
      </c>
      <c r="E3" t="s">
        <v>31</v>
      </c>
      <c r="F3" t="s">
        <v>13</v>
      </c>
      <c r="G3" t="s">
        <v>14</v>
      </c>
      <c r="H3" t="s">
        <v>8</v>
      </c>
      <c r="J3">
        <v>1350</v>
      </c>
      <c r="K3">
        <v>1050</v>
      </c>
      <c r="N3" t="s">
        <v>32</v>
      </c>
      <c r="O3" t="s">
        <v>37</v>
      </c>
      <c r="P3" t="s">
        <v>34</v>
      </c>
      <c r="Q3" t="s">
        <v>35</v>
      </c>
    </row>
    <row r="4" spans="1:19" x14ac:dyDescent="0.25">
      <c r="A4" t="s">
        <v>6</v>
      </c>
      <c r="B4" t="s">
        <v>7</v>
      </c>
      <c r="C4" t="s">
        <v>12</v>
      </c>
      <c r="D4" t="s">
        <v>30</v>
      </c>
      <c r="E4" t="s">
        <v>31</v>
      </c>
      <c r="F4" t="s">
        <v>13</v>
      </c>
      <c r="G4" t="s">
        <v>15</v>
      </c>
      <c r="H4" t="s">
        <v>8</v>
      </c>
      <c r="I4">
        <v>1870</v>
      </c>
      <c r="N4" t="s">
        <v>38</v>
      </c>
      <c r="O4" t="s">
        <v>37</v>
      </c>
      <c r="P4" t="s">
        <v>34</v>
      </c>
      <c r="Q4" t="s">
        <v>35</v>
      </c>
    </row>
    <row r="5" spans="1:19" x14ac:dyDescent="0.25">
      <c r="A5" t="s">
        <v>6</v>
      </c>
      <c r="B5" t="s">
        <v>7</v>
      </c>
      <c r="C5" t="s">
        <v>12</v>
      </c>
      <c r="D5" t="s">
        <v>30</v>
      </c>
      <c r="E5" t="s">
        <v>31</v>
      </c>
      <c r="F5" t="s">
        <v>13</v>
      </c>
      <c r="G5" t="s">
        <v>39</v>
      </c>
      <c r="H5" t="s">
        <v>8</v>
      </c>
      <c r="K5">
        <v>1149</v>
      </c>
      <c r="N5" t="s">
        <v>32</v>
      </c>
      <c r="O5" t="s">
        <v>33</v>
      </c>
      <c r="P5" t="s">
        <v>34</v>
      </c>
      <c r="Q5" t="s">
        <v>35</v>
      </c>
      <c r="R5" t="s">
        <v>40</v>
      </c>
    </row>
    <row r="6" spans="1:19" x14ac:dyDescent="0.25">
      <c r="A6" t="s">
        <v>6</v>
      </c>
      <c r="B6" t="s">
        <v>7</v>
      </c>
      <c r="C6" t="s">
        <v>12</v>
      </c>
      <c r="D6" t="s">
        <v>30</v>
      </c>
      <c r="E6" t="s">
        <v>31</v>
      </c>
      <c r="F6" t="s">
        <v>13</v>
      </c>
      <c r="G6" t="s">
        <v>16</v>
      </c>
      <c r="H6" t="s">
        <v>8</v>
      </c>
      <c r="K6">
        <v>862</v>
      </c>
      <c r="N6" t="s">
        <v>41</v>
      </c>
      <c r="O6" t="s">
        <v>37</v>
      </c>
      <c r="P6" t="s">
        <v>34</v>
      </c>
      <c r="Q6" t="s">
        <v>42</v>
      </c>
      <c r="R6" t="s">
        <v>40</v>
      </c>
    </row>
    <row r="7" spans="1:19" x14ac:dyDescent="0.25">
      <c r="A7" t="s">
        <v>6</v>
      </c>
      <c r="B7" t="s">
        <v>7</v>
      </c>
      <c r="C7" t="s">
        <v>12</v>
      </c>
      <c r="D7" t="s">
        <v>30</v>
      </c>
      <c r="E7" t="s">
        <v>31</v>
      </c>
      <c r="F7" t="s">
        <v>13</v>
      </c>
      <c r="G7" t="s">
        <v>17</v>
      </c>
      <c r="H7" t="s">
        <v>8</v>
      </c>
      <c r="L7">
        <v>590</v>
      </c>
      <c r="N7" t="s">
        <v>41</v>
      </c>
      <c r="O7" t="s">
        <v>37</v>
      </c>
      <c r="P7" t="s">
        <v>34</v>
      </c>
      <c r="Q7" t="s">
        <v>42</v>
      </c>
    </row>
    <row r="8" spans="1:19" x14ac:dyDescent="0.25">
      <c r="A8" t="s">
        <v>6</v>
      </c>
      <c r="B8" t="s">
        <v>7</v>
      </c>
      <c r="C8" t="s">
        <v>12</v>
      </c>
      <c r="D8" t="s">
        <v>30</v>
      </c>
      <c r="E8" t="s">
        <v>31</v>
      </c>
      <c r="F8" t="s">
        <v>18</v>
      </c>
      <c r="G8" t="s">
        <v>11</v>
      </c>
      <c r="H8" t="s">
        <v>8</v>
      </c>
      <c r="J8">
        <v>1840</v>
      </c>
      <c r="N8" t="s">
        <v>43</v>
      </c>
      <c r="O8" t="s">
        <v>37</v>
      </c>
      <c r="P8" t="s">
        <v>34</v>
      </c>
      <c r="Q8" t="s">
        <v>42</v>
      </c>
    </row>
    <row r="9" spans="1:19" x14ac:dyDescent="0.25">
      <c r="A9" t="s">
        <v>6</v>
      </c>
      <c r="B9" t="s">
        <v>9</v>
      </c>
      <c r="C9" t="s">
        <v>12</v>
      </c>
      <c r="D9" t="s">
        <v>44</v>
      </c>
      <c r="E9" t="s">
        <v>31</v>
      </c>
      <c r="F9" t="s">
        <v>13</v>
      </c>
      <c r="G9" t="s">
        <v>11</v>
      </c>
      <c r="H9" t="s">
        <v>8</v>
      </c>
      <c r="L9">
        <v>910</v>
      </c>
      <c r="M9">
        <v>755</v>
      </c>
      <c r="N9" t="s">
        <v>45</v>
      </c>
      <c r="O9" t="s">
        <v>37</v>
      </c>
      <c r="P9" t="s">
        <v>34</v>
      </c>
      <c r="Q9" t="s">
        <v>42</v>
      </c>
    </row>
    <row r="10" spans="1:19" x14ac:dyDescent="0.25">
      <c r="A10" t="s">
        <v>6</v>
      </c>
      <c r="B10" t="s">
        <v>9</v>
      </c>
      <c r="C10" t="s">
        <v>12</v>
      </c>
      <c r="D10" t="s">
        <v>44</v>
      </c>
      <c r="E10" t="s">
        <v>31</v>
      </c>
      <c r="F10" t="s">
        <v>13</v>
      </c>
      <c r="G10" t="s">
        <v>14</v>
      </c>
      <c r="H10" t="s">
        <v>8</v>
      </c>
      <c r="L10" t="s">
        <v>46</v>
      </c>
      <c r="N10" t="s">
        <v>47</v>
      </c>
      <c r="O10" t="s">
        <v>37</v>
      </c>
      <c r="P10" t="s">
        <v>34</v>
      </c>
      <c r="Q10" t="s">
        <v>42</v>
      </c>
      <c r="R10" t="s">
        <v>40</v>
      </c>
    </row>
    <row r="11" spans="1:19" x14ac:dyDescent="0.25">
      <c r="A11" t="s">
        <v>6</v>
      </c>
      <c r="B11" t="s">
        <v>9</v>
      </c>
      <c r="C11" t="s">
        <v>12</v>
      </c>
      <c r="D11" t="s">
        <v>44</v>
      </c>
      <c r="E11" t="s">
        <v>31</v>
      </c>
      <c r="F11" t="s">
        <v>13</v>
      </c>
      <c r="G11" t="s">
        <v>15</v>
      </c>
      <c r="H11" t="s">
        <v>8</v>
      </c>
      <c r="P11" t="s">
        <v>47</v>
      </c>
      <c r="Q11" t="s">
        <v>37</v>
      </c>
      <c r="R11" t="s">
        <v>34</v>
      </c>
      <c r="S11" t="s">
        <v>42</v>
      </c>
    </row>
    <row r="12" spans="1:19" x14ac:dyDescent="0.25">
      <c r="A12" t="s">
        <v>6</v>
      </c>
      <c r="B12" t="s">
        <v>9</v>
      </c>
      <c r="C12" t="s">
        <v>12</v>
      </c>
      <c r="D12" t="s">
        <v>44</v>
      </c>
      <c r="E12" t="s">
        <v>31</v>
      </c>
      <c r="F12" t="s">
        <v>13</v>
      </c>
      <c r="G12" t="s">
        <v>39</v>
      </c>
      <c r="H12" t="s">
        <v>8</v>
      </c>
      <c r="P12" t="s">
        <v>47</v>
      </c>
      <c r="Q12" t="s">
        <v>37</v>
      </c>
      <c r="R12" t="s">
        <v>34</v>
      </c>
      <c r="S12" t="s">
        <v>42</v>
      </c>
    </row>
    <row r="13" spans="1:19" x14ac:dyDescent="0.25">
      <c r="A13" t="s">
        <v>6</v>
      </c>
      <c r="B13" t="s">
        <v>9</v>
      </c>
      <c r="C13" t="s">
        <v>12</v>
      </c>
      <c r="D13" t="s">
        <v>44</v>
      </c>
      <c r="E13" t="s">
        <v>31</v>
      </c>
      <c r="F13" t="s">
        <v>13</v>
      </c>
      <c r="G13" t="s">
        <v>16</v>
      </c>
      <c r="H13" t="s">
        <v>8</v>
      </c>
      <c r="P13" t="s">
        <v>47</v>
      </c>
      <c r="Q13" t="s">
        <v>37</v>
      </c>
      <c r="R13" t="s">
        <v>34</v>
      </c>
      <c r="S13" t="s">
        <v>42</v>
      </c>
    </row>
    <row r="14" spans="1:19" x14ac:dyDescent="0.25">
      <c r="A14" t="s">
        <v>6</v>
      </c>
      <c r="B14" t="s">
        <v>9</v>
      </c>
      <c r="C14" t="s">
        <v>12</v>
      </c>
      <c r="D14" t="s">
        <v>44</v>
      </c>
      <c r="E14" t="s">
        <v>31</v>
      </c>
      <c r="F14" t="s">
        <v>13</v>
      </c>
      <c r="G14" t="s">
        <v>48</v>
      </c>
      <c r="H14" t="s">
        <v>8</v>
      </c>
      <c r="P14" t="s">
        <v>47</v>
      </c>
      <c r="Q14" t="s">
        <v>37</v>
      </c>
      <c r="R14" t="s">
        <v>34</v>
      </c>
      <c r="S14" t="s">
        <v>42</v>
      </c>
    </row>
    <row r="15" spans="1:19" x14ac:dyDescent="0.25">
      <c r="A15" t="s">
        <v>6</v>
      </c>
      <c r="B15" t="s">
        <v>9</v>
      </c>
      <c r="C15" t="s">
        <v>12</v>
      </c>
      <c r="D15" t="s">
        <v>44</v>
      </c>
      <c r="E15" t="s">
        <v>31</v>
      </c>
      <c r="F15" t="s">
        <v>13</v>
      </c>
      <c r="G15" t="s">
        <v>17</v>
      </c>
      <c r="H15" t="s">
        <v>8</v>
      </c>
      <c r="P15" t="s">
        <v>47</v>
      </c>
      <c r="Q15" t="s">
        <v>37</v>
      </c>
      <c r="R15" t="s">
        <v>34</v>
      </c>
      <c r="S15" t="s">
        <v>42</v>
      </c>
    </row>
    <row r="16" spans="1:19" x14ac:dyDescent="0.25">
      <c r="A16" t="s">
        <v>6</v>
      </c>
      <c r="B16" t="s">
        <v>9</v>
      </c>
      <c r="C16" t="s">
        <v>12</v>
      </c>
      <c r="D16" t="s">
        <v>44</v>
      </c>
      <c r="E16" t="s">
        <v>31</v>
      </c>
      <c r="F16" t="s">
        <v>18</v>
      </c>
      <c r="G16" t="s">
        <v>11</v>
      </c>
      <c r="H16" t="s">
        <v>8</v>
      </c>
      <c r="L16">
        <v>1590</v>
      </c>
      <c r="M16">
        <v>1015</v>
      </c>
      <c r="N16" t="s">
        <v>45</v>
      </c>
      <c r="O16" t="s">
        <v>37</v>
      </c>
      <c r="P16" t="s">
        <v>34</v>
      </c>
      <c r="Q16" t="s">
        <v>42</v>
      </c>
    </row>
    <row r="17" spans="1:19" x14ac:dyDescent="0.25">
      <c r="A17" t="s">
        <v>6</v>
      </c>
      <c r="B17" t="s">
        <v>9</v>
      </c>
      <c r="C17" t="s">
        <v>12</v>
      </c>
      <c r="D17" t="s">
        <v>44</v>
      </c>
      <c r="E17" t="s">
        <v>31</v>
      </c>
      <c r="F17" t="s">
        <v>18</v>
      </c>
      <c r="G17" t="s">
        <v>14</v>
      </c>
      <c r="H17" t="s">
        <v>8</v>
      </c>
      <c r="P17" t="s">
        <v>49</v>
      </c>
      <c r="Q17" t="s">
        <v>37</v>
      </c>
      <c r="R17" t="s">
        <v>34</v>
      </c>
      <c r="S17" t="s">
        <v>42</v>
      </c>
    </row>
    <row r="18" spans="1:19" x14ac:dyDescent="0.25">
      <c r="A18" t="s">
        <v>6</v>
      </c>
      <c r="B18" t="s">
        <v>9</v>
      </c>
      <c r="C18" t="s">
        <v>12</v>
      </c>
      <c r="D18" t="s">
        <v>44</v>
      </c>
      <c r="E18" t="s">
        <v>31</v>
      </c>
      <c r="F18" t="s">
        <v>18</v>
      </c>
      <c r="G18" t="s">
        <v>15</v>
      </c>
      <c r="H18" t="s">
        <v>8</v>
      </c>
      <c r="P18" t="s">
        <v>49</v>
      </c>
      <c r="Q18" t="s">
        <v>37</v>
      </c>
      <c r="R18" t="s">
        <v>34</v>
      </c>
      <c r="S18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0D60-F20A-4331-BDE5-6C324DA3791E}">
  <dimension ref="A1:R11"/>
  <sheetViews>
    <sheetView workbookViewId="0">
      <selection activeCell="A11" sqref="A11:R11"/>
    </sheetView>
  </sheetViews>
  <sheetFormatPr defaultRowHeight="15" x14ac:dyDescent="0.25"/>
  <cols>
    <col min="1" max="1" width="10.5703125" bestFit="1" customWidth="1"/>
    <col min="2" max="2" width="17.7109375" bestFit="1" customWidth="1"/>
    <col min="3" max="3" width="20.140625" bestFit="1" customWidth="1"/>
    <col min="4" max="4" width="16.7109375" bestFit="1" customWidth="1"/>
    <col min="5" max="5" width="12.42578125" bestFit="1" customWidth="1"/>
    <col min="6" max="6" width="7.28515625" bestFit="1" customWidth="1"/>
    <col min="7" max="7" width="19" bestFit="1" customWidth="1"/>
    <col min="8" max="8" width="4.140625" bestFit="1" customWidth="1"/>
    <col min="9" max="9" width="10.140625" bestFit="1" customWidth="1"/>
    <col min="10" max="10" width="11" bestFit="1" customWidth="1"/>
    <col min="11" max="11" width="9.7109375" bestFit="1" customWidth="1"/>
    <col min="12" max="12" width="8.85546875" bestFit="1" customWidth="1"/>
    <col min="13" max="13" width="12.42578125" bestFit="1" customWidth="1"/>
    <col min="14" max="14" width="12.85546875" bestFit="1" customWidth="1"/>
    <col min="15" max="15" width="10.85546875" bestFit="1" customWidth="1"/>
    <col min="16" max="16" width="10.140625" bestFit="1" customWidth="1"/>
    <col min="17" max="17" width="10" bestFit="1" customWidth="1"/>
    <col min="18" max="18" width="69.5703125" bestFit="1" customWidth="1"/>
  </cols>
  <sheetData>
    <row r="1" spans="1:1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10</v>
      </c>
    </row>
    <row r="2" spans="1:18" x14ac:dyDescent="0.25">
      <c r="A2" t="s">
        <v>6</v>
      </c>
      <c r="B2" t="s">
        <v>50</v>
      </c>
      <c r="C2" t="s">
        <v>51</v>
      </c>
      <c r="D2" t="s">
        <v>52</v>
      </c>
      <c r="E2" t="s">
        <v>53</v>
      </c>
      <c r="F2" t="s">
        <v>13</v>
      </c>
      <c r="G2" t="s">
        <v>11</v>
      </c>
      <c r="H2" t="s">
        <v>8</v>
      </c>
      <c r="I2">
        <v>7115</v>
      </c>
      <c r="J2">
        <v>5603</v>
      </c>
      <c r="K2">
        <v>3821</v>
      </c>
      <c r="L2">
        <v>3335</v>
      </c>
      <c r="M2">
        <v>3011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</row>
    <row r="3" spans="1:18" x14ac:dyDescent="0.25">
      <c r="A3" t="s">
        <v>6</v>
      </c>
      <c r="B3" t="s">
        <v>50</v>
      </c>
      <c r="C3" t="s">
        <v>51</v>
      </c>
      <c r="D3" t="s">
        <v>52</v>
      </c>
      <c r="E3" t="s">
        <v>53</v>
      </c>
      <c r="F3" t="s">
        <v>13</v>
      </c>
      <c r="G3" t="s">
        <v>15</v>
      </c>
      <c r="H3" t="s">
        <v>8</v>
      </c>
      <c r="I3">
        <v>7115</v>
      </c>
      <c r="J3">
        <v>5603</v>
      </c>
      <c r="K3">
        <v>3821</v>
      </c>
      <c r="L3">
        <v>3335</v>
      </c>
      <c r="M3">
        <v>3011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</row>
    <row r="4" spans="1:18" x14ac:dyDescent="0.25">
      <c r="A4" t="s">
        <v>6</v>
      </c>
      <c r="B4" t="s">
        <v>50</v>
      </c>
      <c r="C4" t="s">
        <v>51</v>
      </c>
      <c r="D4" t="s">
        <v>52</v>
      </c>
      <c r="E4" t="s">
        <v>53</v>
      </c>
      <c r="F4" t="s">
        <v>13</v>
      </c>
      <c r="G4" t="s">
        <v>39</v>
      </c>
      <c r="H4" t="s">
        <v>8</v>
      </c>
      <c r="I4">
        <v>6845</v>
      </c>
      <c r="J4">
        <v>5333</v>
      </c>
      <c r="K4">
        <v>3551</v>
      </c>
      <c r="L4">
        <v>3065</v>
      </c>
      <c r="M4">
        <v>2741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6</v>
      </c>
      <c r="B5" t="s">
        <v>50</v>
      </c>
      <c r="C5" t="s">
        <v>51</v>
      </c>
      <c r="D5" t="s">
        <v>52</v>
      </c>
      <c r="E5" t="s">
        <v>53</v>
      </c>
      <c r="F5" t="s">
        <v>13</v>
      </c>
      <c r="G5" t="s">
        <v>16</v>
      </c>
      <c r="H5" t="s">
        <v>8</v>
      </c>
      <c r="I5">
        <v>6845</v>
      </c>
      <c r="J5">
        <v>5333</v>
      </c>
      <c r="K5">
        <v>3551</v>
      </c>
      <c r="L5">
        <v>3065</v>
      </c>
      <c r="M5">
        <v>2741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</row>
    <row r="6" spans="1:18" x14ac:dyDescent="0.25">
      <c r="A6" t="s">
        <v>6</v>
      </c>
      <c r="B6" t="s">
        <v>59</v>
      </c>
      <c r="C6" t="s">
        <v>51</v>
      </c>
      <c r="D6" t="s">
        <v>60</v>
      </c>
      <c r="E6" t="s">
        <v>53</v>
      </c>
      <c r="F6" t="s">
        <v>13</v>
      </c>
      <c r="G6" t="s">
        <v>11</v>
      </c>
      <c r="H6" t="s">
        <v>8</v>
      </c>
      <c r="L6">
        <v>2117</v>
      </c>
      <c r="M6">
        <v>1793</v>
      </c>
      <c r="N6" t="s">
        <v>43</v>
      </c>
      <c r="O6" t="s">
        <v>61</v>
      </c>
      <c r="P6" t="s">
        <v>56</v>
      </c>
      <c r="Q6" t="s">
        <v>62</v>
      </c>
      <c r="R6" t="s">
        <v>63</v>
      </c>
    </row>
    <row r="7" spans="1:18" x14ac:dyDescent="0.25">
      <c r="A7" t="s">
        <v>6</v>
      </c>
      <c r="B7" t="s">
        <v>59</v>
      </c>
      <c r="C7" t="s">
        <v>51</v>
      </c>
      <c r="D7" t="s">
        <v>60</v>
      </c>
      <c r="E7" t="s">
        <v>53</v>
      </c>
      <c r="F7" t="s">
        <v>13</v>
      </c>
      <c r="G7" t="s">
        <v>15</v>
      </c>
      <c r="H7" t="s">
        <v>8</v>
      </c>
      <c r="L7">
        <v>2117</v>
      </c>
      <c r="M7">
        <v>1793</v>
      </c>
      <c r="N7" t="s">
        <v>43</v>
      </c>
      <c r="O7" t="s">
        <v>61</v>
      </c>
      <c r="P7" t="s">
        <v>56</v>
      </c>
      <c r="Q7" t="s">
        <v>62</v>
      </c>
      <c r="R7" t="s">
        <v>63</v>
      </c>
    </row>
    <row r="8" spans="1:18" x14ac:dyDescent="0.25">
      <c r="A8" t="s">
        <v>6</v>
      </c>
      <c r="B8" t="s">
        <v>59</v>
      </c>
      <c r="C8" t="s">
        <v>51</v>
      </c>
      <c r="D8" t="s">
        <v>60</v>
      </c>
      <c r="E8" t="s">
        <v>53</v>
      </c>
      <c r="F8" t="s">
        <v>13</v>
      </c>
      <c r="G8" t="s">
        <v>39</v>
      </c>
      <c r="H8" t="s">
        <v>8</v>
      </c>
      <c r="L8">
        <v>1847</v>
      </c>
      <c r="M8">
        <v>1523</v>
      </c>
      <c r="N8" t="s">
        <v>43</v>
      </c>
      <c r="O8" t="s">
        <v>61</v>
      </c>
      <c r="P8" t="s">
        <v>56</v>
      </c>
      <c r="Q8" t="s">
        <v>62</v>
      </c>
      <c r="R8" t="s">
        <v>63</v>
      </c>
    </row>
    <row r="9" spans="1:18" x14ac:dyDescent="0.25">
      <c r="A9" t="s">
        <v>6</v>
      </c>
      <c r="B9" t="s">
        <v>59</v>
      </c>
      <c r="C9" t="s">
        <v>51</v>
      </c>
      <c r="D9" t="s">
        <v>60</v>
      </c>
      <c r="E9" t="s">
        <v>53</v>
      </c>
      <c r="F9" t="s">
        <v>13</v>
      </c>
      <c r="G9" t="s">
        <v>16</v>
      </c>
      <c r="H9" t="s">
        <v>8</v>
      </c>
      <c r="L9">
        <v>1847</v>
      </c>
      <c r="M9">
        <v>1523</v>
      </c>
      <c r="N9" t="s">
        <v>43</v>
      </c>
      <c r="O9" t="s">
        <v>61</v>
      </c>
      <c r="P9" t="s">
        <v>56</v>
      </c>
      <c r="Q9" t="s">
        <v>62</v>
      </c>
      <c r="R9" t="s">
        <v>63</v>
      </c>
    </row>
    <row r="10" spans="1:18" x14ac:dyDescent="0.25">
      <c r="A10" t="s">
        <v>6</v>
      </c>
      <c r="B10" t="s">
        <v>59</v>
      </c>
      <c r="C10" t="s">
        <v>51</v>
      </c>
      <c r="D10" t="s">
        <v>60</v>
      </c>
      <c r="E10" t="s">
        <v>53</v>
      </c>
      <c r="F10" t="s">
        <v>13</v>
      </c>
      <c r="G10" t="s">
        <v>48</v>
      </c>
      <c r="H10" t="s">
        <v>8</v>
      </c>
      <c r="L10">
        <v>1469</v>
      </c>
      <c r="M10">
        <v>1145</v>
      </c>
      <c r="N10" t="s">
        <v>43</v>
      </c>
      <c r="O10" t="s">
        <v>61</v>
      </c>
      <c r="P10" t="s">
        <v>56</v>
      </c>
      <c r="Q10" t="s">
        <v>62</v>
      </c>
      <c r="R10" t="s">
        <v>63</v>
      </c>
    </row>
    <row r="11" spans="1:18" x14ac:dyDescent="0.25">
      <c r="A11" t="s">
        <v>6</v>
      </c>
      <c r="B11" t="s">
        <v>59</v>
      </c>
      <c r="C11" t="s">
        <v>51</v>
      </c>
      <c r="D11" t="s">
        <v>60</v>
      </c>
      <c r="E11" t="s">
        <v>53</v>
      </c>
      <c r="F11" t="s">
        <v>64</v>
      </c>
      <c r="G11" t="s">
        <v>65</v>
      </c>
      <c r="H11" t="s">
        <v>8</v>
      </c>
      <c r="L11" t="s">
        <v>66</v>
      </c>
      <c r="M11" t="s">
        <v>67</v>
      </c>
      <c r="N11" t="s">
        <v>43</v>
      </c>
      <c r="O11" t="s">
        <v>61</v>
      </c>
      <c r="P11" t="s">
        <v>56</v>
      </c>
      <c r="Q11" t="s">
        <v>62</v>
      </c>
      <c r="R11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5030-7415-4C29-A8D3-767A1D6EB356}">
  <dimension ref="A1:T61"/>
  <sheetViews>
    <sheetView tabSelected="1" topLeftCell="A34" workbookViewId="0">
      <selection activeCell="D50" sqref="D50"/>
    </sheetView>
  </sheetViews>
  <sheetFormatPr defaultRowHeight="15" x14ac:dyDescent="0.25"/>
  <cols>
    <col min="1" max="1" width="10.5703125" bestFit="1" customWidth="1"/>
    <col min="2" max="2" width="11.42578125" bestFit="1" customWidth="1"/>
    <col min="3" max="3" width="16.140625" bestFit="1" customWidth="1"/>
    <col min="4" max="4" width="26.42578125" bestFit="1" customWidth="1"/>
    <col min="5" max="5" width="27.28515625" bestFit="1" customWidth="1"/>
    <col min="6" max="6" width="13.140625" bestFit="1" customWidth="1"/>
    <col min="7" max="7" width="21" bestFit="1" customWidth="1"/>
    <col min="8" max="8" width="4.140625" bestFit="1" customWidth="1"/>
    <col min="9" max="9" width="10.140625" bestFit="1" customWidth="1"/>
    <col min="10" max="10" width="11" bestFit="1" customWidth="1"/>
    <col min="11" max="11" width="9.7109375" bestFit="1" customWidth="1"/>
    <col min="12" max="12" width="9.140625" bestFit="1" customWidth="1"/>
    <col min="13" max="13" width="12.42578125" bestFit="1" customWidth="1"/>
    <col min="14" max="16" width="12.85546875" bestFit="1" customWidth="1"/>
    <col min="17" max="17" width="12" bestFit="1" customWidth="1"/>
    <col min="18" max="18" width="69.28515625" bestFit="1" customWidth="1"/>
    <col min="19" max="19" width="50.85546875" bestFit="1" customWidth="1"/>
    <col min="20" max="20" width="43.42578125" bestFit="1" customWidth="1"/>
  </cols>
  <sheetData>
    <row r="1" spans="1:20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10</v>
      </c>
    </row>
    <row r="2" spans="1:20" x14ac:dyDescent="0.25">
      <c r="A2" t="s">
        <v>6</v>
      </c>
      <c r="B2" t="s">
        <v>69</v>
      </c>
      <c r="C2" t="s">
        <v>12</v>
      </c>
      <c r="D2" t="s">
        <v>69</v>
      </c>
      <c r="E2" t="s">
        <v>70</v>
      </c>
      <c r="F2" t="s">
        <v>13</v>
      </c>
      <c r="G2" t="s">
        <v>69</v>
      </c>
      <c r="H2" t="s">
        <v>8</v>
      </c>
      <c r="K2">
        <v>1989</v>
      </c>
      <c r="N2" t="s">
        <v>71</v>
      </c>
      <c r="O2" t="s">
        <v>37</v>
      </c>
      <c r="P2" t="s">
        <v>34</v>
      </c>
      <c r="Q2" t="s">
        <v>72</v>
      </c>
      <c r="R2" t="s">
        <v>73</v>
      </c>
    </row>
    <row r="3" spans="1:20" x14ac:dyDescent="0.25">
      <c r="A3" t="s">
        <v>6</v>
      </c>
      <c r="B3" t="s">
        <v>69</v>
      </c>
      <c r="C3" t="s">
        <v>12</v>
      </c>
      <c r="D3" t="s">
        <v>69</v>
      </c>
      <c r="E3" t="s">
        <v>70</v>
      </c>
      <c r="F3" t="s">
        <v>74</v>
      </c>
      <c r="G3" t="s">
        <v>69</v>
      </c>
      <c r="H3" t="s">
        <v>8</v>
      </c>
      <c r="K3">
        <v>2189</v>
      </c>
      <c r="N3" t="s">
        <v>71</v>
      </c>
      <c r="O3" t="s">
        <v>37</v>
      </c>
      <c r="P3" t="s">
        <v>34</v>
      </c>
      <c r="Q3" t="s">
        <v>75</v>
      </c>
      <c r="R3" t="s">
        <v>76</v>
      </c>
    </row>
    <row r="4" spans="1:20" x14ac:dyDescent="0.25">
      <c r="A4" t="s">
        <v>6</v>
      </c>
      <c r="B4" t="s">
        <v>69</v>
      </c>
      <c r="C4" t="s">
        <v>12</v>
      </c>
      <c r="D4" t="s">
        <v>69</v>
      </c>
      <c r="E4" t="s">
        <v>70</v>
      </c>
      <c r="F4" t="s">
        <v>77</v>
      </c>
      <c r="G4" t="s">
        <v>69</v>
      </c>
      <c r="H4" t="s">
        <v>8</v>
      </c>
      <c r="K4">
        <v>2189</v>
      </c>
      <c r="N4" t="s">
        <v>71</v>
      </c>
      <c r="O4" t="s">
        <v>37</v>
      </c>
      <c r="P4" t="s">
        <v>34</v>
      </c>
      <c r="Q4" t="s">
        <v>75</v>
      </c>
      <c r="R4" t="s">
        <v>78</v>
      </c>
    </row>
    <row r="5" spans="1:20" x14ac:dyDescent="0.25">
      <c r="A5" t="s">
        <v>6</v>
      </c>
      <c r="B5" t="s">
        <v>94</v>
      </c>
      <c r="C5" t="s">
        <v>12</v>
      </c>
      <c r="D5" t="s">
        <v>95</v>
      </c>
      <c r="E5" t="s">
        <v>96</v>
      </c>
      <c r="F5" t="s">
        <v>13</v>
      </c>
      <c r="G5" t="s">
        <v>97</v>
      </c>
      <c r="H5" t="s">
        <v>8</v>
      </c>
      <c r="I5">
        <v>6166</v>
      </c>
      <c r="J5">
        <v>4384</v>
      </c>
      <c r="N5" t="s">
        <v>98</v>
      </c>
      <c r="O5" t="s">
        <v>55</v>
      </c>
      <c r="P5" t="s">
        <v>99</v>
      </c>
      <c r="Q5" t="s">
        <v>100</v>
      </c>
      <c r="R5" t="s">
        <v>101</v>
      </c>
    </row>
    <row r="6" spans="1:20" x14ac:dyDescent="0.25">
      <c r="A6" t="s">
        <v>6</v>
      </c>
      <c r="B6" t="s">
        <v>94</v>
      </c>
      <c r="C6" t="s">
        <v>102</v>
      </c>
      <c r="D6" t="s">
        <v>103</v>
      </c>
      <c r="E6" t="s">
        <v>96</v>
      </c>
      <c r="F6" t="s">
        <v>13</v>
      </c>
      <c r="G6" t="s">
        <v>97</v>
      </c>
      <c r="H6" t="s">
        <v>8</v>
      </c>
      <c r="I6">
        <v>2826</v>
      </c>
      <c r="J6">
        <v>2178</v>
      </c>
      <c r="N6" t="s">
        <v>104</v>
      </c>
      <c r="O6" t="s">
        <v>61</v>
      </c>
      <c r="P6" t="s">
        <v>105</v>
      </c>
      <c r="Q6" t="s">
        <v>100</v>
      </c>
      <c r="R6" t="s">
        <v>106</v>
      </c>
    </row>
    <row r="7" spans="1:20" x14ac:dyDescent="0.25">
      <c r="A7" t="s">
        <v>6</v>
      </c>
      <c r="B7" t="s">
        <v>94</v>
      </c>
      <c r="C7" t="s">
        <v>102</v>
      </c>
      <c r="D7" t="s">
        <v>103</v>
      </c>
      <c r="E7" t="s">
        <v>96</v>
      </c>
      <c r="F7" t="s">
        <v>13</v>
      </c>
      <c r="G7" t="s">
        <v>97</v>
      </c>
      <c r="H7" t="s">
        <v>8</v>
      </c>
      <c r="I7">
        <v>2826</v>
      </c>
      <c r="J7">
        <v>2178</v>
      </c>
      <c r="N7" t="s">
        <v>104</v>
      </c>
      <c r="O7" t="s">
        <v>61</v>
      </c>
      <c r="P7" t="s">
        <v>105</v>
      </c>
      <c r="Q7" t="s">
        <v>100</v>
      </c>
      <c r="R7" t="s">
        <v>106</v>
      </c>
    </row>
    <row r="9" spans="1:20" x14ac:dyDescent="0.25">
      <c r="A9" t="s">
        <v>0</v>
      </c>
      <c r="B9" t="s">
        <v>1</v>
      </c>
      <c r="C9" t="s">
        <v>4</v>
      </c>
      <c r="D9" t="s">
        <v>2</v>
      </c>
      <c r="E9" t="s">
        <v>3</v>
      </c>
      <c r="F9" t="s">
        <v>5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107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  <c r="R9" t="s">
        <v>29</v>
      </c>
      <c r="S9" t="s">
        <v>10</v>
      </c>
    </row>
    <row r="10" spans="1:20" x14ac:dyDescent="0.25">
      <c r="A10" t="s">
        <v>6</v>
      </c>
      <c r="B10" t="s">
        <v>79</v>
      </c>
      <c r="C10" t="s">
        <v>12</v>
      </c>
      <c r="D10" t="s">
        <v>79</v>
      </c>
      <c r="E10" t="s">
        <v>80</v>
      </c>
      <c r="F10" t="s">
        <v>13</v>
      </c>
      <c r="G10" t="s">
        <v>11</v>
      </c>
      <c r="H10" t="s">
        <v>8</v>
      </c>
      <c r="I10">
        <v>3452</v>
      </c>
      <c r="J10">
        <v>3020</v>
      </c>
      <c r="K10">
        <v>2372</v>
      </c>
      <c r="L10">
        <v>1616</v>
      </c>
      <c r="M10">
        <v>1616</v>
      </c>
      <c r="N10">
        <v>1292</v>
      </c>
      <c r="O10" t="s">
        <v>81</v>
      </c>
      <c r="P10" t="s">
        <v>55</v>
      </c>
      <c r="Q10">
        <f>0.57 / 0.95 / 1.32</f>
        <v>0.45454545454545453</v>
      </c>
      <c r="R10" t="s">
        <v>57</v>
      </c>
      <c r="S10" t="s">
        <v>82</v>
      </c>
    </row>
    <row r="11" spans="1:20" x14ac:dyDescent="0.25">
      <c r="A11" t="s">
        <v>6</v>
      </c>
      <c r="B11" t="s">
        <v>79</v>
      </c>
      <c r="C11" t="s">
        <v>12</v>
      </c>
      <c r="D11" t="s">
        <v>79</v>
      </c>
      <c r="E11" t="s">
        <v>80</v>
      </c>
      <c r="F11" t="s">
        <v>74</v>
      </c>
      <c r="G11" t="s">
        <v>83</v>
      </c>
      <c r="H11" t="s">
        <v>8</v>
      </c>
      <c r="J11">
        <v>3938</v>
      </c>
      <c r="N11">
        <v>2804</v>
      </c>
      <c r="O11">
        <v>2480</v>
      </c>
      <c r="P11" t="s">
        <v>81</v>
      </c>
      <c r="Q11" t="s">
        <v>55</v>
      </c>
      <c r="R11">
        <f>0.57 / 0.95 / 1.32</f>
        <v>0.45454545454545453</v>
      </c>
    </row>
    <row r="12" spans="1:20" x14ac:dyDescent="0.25">
      <c r="A12" t="s">
        <v>6</v>
      </c>
      <c r="B12" t="s">
        <v>79</v>
      </c>
      <c r="C12" t="s">
        <v>12</v>
      </c>
      <c r="D12" t="s">
        <v>79</v>
      </c>
      <c r="E12" t="s">
        <v>80</v>
      </c>
      <c r="F12" t="s">
        <v>74</v>
      </c>
      <c r="G12" t="s">
        <v>83</v>
      </c>
      <c r="H12" t="s">
        <v>8</v>
      </c>
      <c r="J12">
        <v>3938</v>
      </c>
      <c r="N12">
        <v>2804</v>
      </c>
      <c r="O12">
        <v>2480</v>
      </c>
      <c r="P12" t="s">
        <v>81</v>
      </c>
      <c r="Q12" t="s">
        <v>55</v>
      </c>
      <c r="R12">
        <f>0.57 / 0.95 / 1.32</f>
        <v>0.45454545454545453</v>
      </c>
      <c r="S12" t="s">
        <v>57</v>
      </c>
      <c r="T12" t="s">
        <v>84</v>
      </c>
    </row>
    <row r="13" spans="1:20" x14ac:dyDescent="0.25">
      <c r="A13" t="s">
        <v>6</v>
      </c>
      <c r="B13" t="s">
        <v>79</v>
      </c>
      <c r="C13" t="s">
        <v>12</v>
      </c>
      <c r="D13" t="s">
        <v>79</v>
      </c>
      <c r="E13" t="s">
        <v>80</v>
      </c>
      <c r="F13" t="s">
        <v>74</v>
      </c>
      <c r="G13" t="s">
        <v>85</v>
      </c>
      <c r="H13" t="s">
        <v>8</v>
      </c>
      <c r="J13">
        <v>3668</v>
      </c>
      <c r="N13">
        <v>2534</v>
      </c>
      <c r="O13">
        <v>2210</v>
      </c>
      <c r="P13" t="s">
        <v>81</v>
      </c>
      <c r="Q13" t="s">
        <v>55</v>
      </c>
      <c r="R13">
        <f>0.57 / 0.95 / 1.32</f>
        <v>0.45454545454545453</v>
      </c>
      <c r="S13" t="s">
        <v>57</v>
      </c>
      <c r="T13" t="s">
        <v>86</v>
      </c>
    </row>
    <row r="14" spans="1:20" x14ac:dyDescent="0.25">
      <c r="A14" t="s">
        <v>6</v>
      </c>
      <c r="B14" t="s">
        <v>79</v>
      </c>
      <c r="C14" t="s">
        <v>12</v>
      </c>
      <c r="D14" t="s">
        <v>79</v>
      </c>
      <c r="E14" t="s">
        <v>80</v>
      </c>
      <c r="F14" t="s">
        <v>77</v>
      </c>
      <c r="G14" t="s">
        <v>87</v>
      </c>
      <c r="H14" t="s">
        <v>8</v>
      </c>
      <c r="M14">
        <v>2188</v>
      </c>
      <c r="N14">
        <v>2188</v>
      </c>
      <c r="O14">
        <v>1918</v>
      </c>
      <c r="P14" t="s">
        <v>88</v>
      </c>
      <c r="Q14" t="s">
        <v>55</v>
      </c>
      <c r="R14">
        <f>0.57 / 0.95 / 1.32</f>
        <v>0.45454545454545453</v>
      </c>
      <c r="S14" t="s">
        <v>89</v>
      </c>
      <c r="T14" t="s">
        <v>90</v>
      </c>
    </row>
    <row r="15" spans="1:20" x14ac:dyDescent="0.25">
      <c r="A15" t="s">
        <v>6</v>
      </c>
      <c r="B15" t="s">
        <v>79</v>
      </c>
      <c r="C15" t="s">
        <v>12</v>
      </c>
      <c r="D15" t="s">
        <v>79</v>
      </c>
      <c r="E15" t="s">
        <v>80</v>
      </c>
      <c r="F15" t="s">
        <v>91</v>
      </c>
      <c r="G15" t="s">
        <v>92</v>
      </c>
      <c r="H15" t="s">
        <v>8</v>
      </c>
      <c r="I15">
        <v>3452</v>
      </c>
      <c r="J15">
        <v>3020</v>
      </c>
      <c r="K15">
        <v>2372</v>
      </c>
      <c r="M15">
        <v>1886</v>
      </c>
      <c r="N15">
        <v>1562</v>
      </c>
      <c r="O15" t="s">
        <v>81</v>
      </c>
      <c r="P15" t="s">
        <v>55</v>
      </c>
      <c r="Q15">
        <f>0.57 / 0.95 / 1.32</f>
        <v>0.45454545454545453</v>
      </c>
      <c r="R15" t="s">
        <v>57</v>
      </c>
      <c r="S15" t="s">
        <v>93</v>
      </c>
    </row>
    <row r="17" spans="1:18" x14ac:dyDescent="0.25">
      <c r="A17" t="s">
        <v>0</v>
      </c>
      <c r="B17" t="s">
        <v>1</v>
      </c>
      <c r="C17" t="s">
        <v>4</v>
      </c>
      <c r="D17" t="s">
        <v>2</v>
      </c>
      <c r="E17" t="s">
        <v>3</v>
      </c>
      <c r="F17" t="s">
        <v>5</v>
      </c>
      <c r="G17" t="s">
        <v>19</v>
      </c>
      <c r="H17" t="s">
        <v>20</v>
      </c>
      <c r="I17" t="s">
        <v>22</v>
      </c>
      <c r="J17" t="s">
        <v>23</v>
      </c>
      <c r="K17" t="s">
        <v>107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29</v>
      </c>
      <c r="R17" t="s">
        <v>10</v>
      </c>
    </row>
    <row r="18" spans="1:18" x14ac:dyDescent="0.25">
      <c r="A18" t="s">
        <v>6</v>
      </c>
      <c r="B18" t="s">
        <v>108</v>
      </c>
      <c r="C18" t="s">
        <v>12</v>
      </c>
      <c r="D18" t="s">
        <v>109</v>
      </c>
      <c r="E18" t="s">
        <v>110</v>
      </c>
      <c r="F18" t="s">
        <v>13</v>
      </c>
      <c r="G18" t="s">
        <v>11</v>
      </c>
      <c r="H18" t="s">
        <v>8</v>
      </c>
      <c r="I18">
        <v>6550</v>
      </c>
      <c r="J18">
        <v>4768</v>
      </c>
      <c r="L18">
        <v>4282</v>
      </c>
      <c r="M18">
        <v>3958</v>
      </c>
      <c r="N18" t="s">
        <v>111</v>
      </c>
      <c r="O18" t="s">
        <v>61</v>
      </c>
      <c r="P18" t="s">
        <v>112</v>
      </c>
      <c r="Q18" t="s">
        <v>100</v>
      </c>
      <c r="R18" t="s">
        <v>113</v>
      </c>
    </row>
    <row r="19" spans="1:18" x14ac:dyDescent="0.25">
      <c r="A19" t="s">
        <v>6</v>
      </c>
      <c r="B19" t="s">
        <v>108</v>
      </c>
      <c r="C19" t="s">
        <v>12</v>
      </c>
      <c r="D19" t="s">
        <v>109</v>
      </c>
      <c r="E19" t="s">
        <v>110</v>
      </c>
      <c r="F19" t="s">
        <v>13</v>
      </c>
      <c r="G19" t="s">
        <v>15</v>
      </c>
      <c r="H19" t="s">
        <v>8</v>
      </c>
      <c r="I19">
        <v>6550</v>
      </c>
      <c r="J19">
        <v>4768</v>
      </c>
      <c r="L19">
        <v>4282</v>
      </c>
      <c r="M19">
        <v>3958</v>
      </c>
      <c r="N19" t="s">
        <v>111</v>
      </c>
      <c r="O19" t="s">
        <v>61</v>
      </c>
      <c r="P19" t="s">
        <v>112</v>
      </c>
      <c r="Q19" t="s">
        <v>100</v>
      </c>
      <c r="R19" t="s">
        <v>114</v>
      </c>
    </row>
    <row r="20" spans="1:18" x14ac:dyDescent="0.25">
      <c r="A20" t="s">
        <v>6</v>
      </c>
      <c r="B20" t="s">
        <v>108</v>
      </c>
      <c r="C20" t="s">
        <v>12</v>
      </c>
      <c r="D20" t="s">
        <v>109</v>
      </c>
      <c r="E20" t="s">
        <v>110</v>
      </c>
      <c r="F20" t="s">
        <v>13</v>
      </c>
      <c r="G20" t="s">
        <v>39</v>
      </c>
      <c r="H20" t="s">
        <v>8</v>
      </c>
      <c r="I20">
        <v>6280</v>
      </c>
      <c r="J20">
        <v>4498</v>
      </c>
      <c r="L20">
        <v>4012</v>
      </c>
      <c r="M20">
        <v>3688</v>
      </c>
      <c r="N20" t="s">
        <v>111</v>
      </c>
      <c r="O20" t="s">
        <v>61</v>
      </c>
      <c r="P20" t="s">
        <v>112</v>
      </c>
      <c r="Q20" t="s">
        <v>100</v>
      </c>
      <c r="R20" t="s">
        <v>115</v>
      </c>
    </row>
    <row r="21" spans="1:18" x14ac:dyDescent="0.25">
      <c r="A21" t="s">
        <v>6</v>
      </c>
      <c r="B21" t="s">
        <v>108</v>
      </c>
      <c r="C21" t="s">
        <v>12</v>
      </c>
      <c r="D21" t="s">
        <v>109</v>
      </c>
      <c r="E21" t="s">
        <v>110</v>
      </c>
      <c r="F21" t="s">
        <v>13</v>
      </c>
      <c r="G21" t="s">
        <v>16</v>
      </c>
      <c r="H21" t="s">
        <v>8</v>
      </c>
      <c r="I21">
        <v>6280</v>
      </c>
      <c r="J21">
        <v>4498</v>
      </c>
      <c r="L21">
        <v>4012</v>
      </c>
      <c r="M21">
        <v>3688</v>
      </c>
      <c r="N21" t="s">
        <v>111</v>
      </c>
      <c r="O21" t="s">
        <v>61</v>
      </c>
      <c r="P21" t="s">
        <v>112</v>
      </c>
      <c r="Q21" t="s">
        <v>100</v>
      </c>
      <c r="R21" t="s">
        <v>116</v>
      </c>
    </row>
    <row r="22" spans="1:18" x14ac:dyDescent="0.25">
      <c r="A22" t="s">
        <v>6</v>
      </c>
      <c r="B22" t="s">
        <v>108</v>
      </c>
      <c r="C22" t="s">
        <v>12</v>
      </c>
      <c r="D22" t="s">
        <v>109</v>
      </c>
      <c r="E22" t="s">
        <v>110</v>
      </c>
      <c r="F22" t="s">
        <v>13</v>
      </c>
      <c r="G22" t="s">
        <v>48</v>
      </c>
      <c r="H22" t="s">
        <v>8</v>
      </c>
      <c r="I22">
        <v>5902</v>
      </c>
      <c r="J22">
        <v>4120</v>
      </c>
      <c r="L22">
        <v>3634</v>
      </c>
      <c r="M22">
        <v>3310</v>
      </c>
      <c r="N22" t="s">
        <v>111</v>
      </c>
      <c r="O22" t="s">
        <v>61</v>
      </c>
      <c r="P22" t="s">
        <v>112</v>
      </c>
      <c r="Q22" t="s">
        <v>100</v>
      </c>
      <c r="R22" t="s">
        <v>117</v>
      </c>
    </row>
    <row r="23" spans="1:18" x14ac:dyDescent="0.25">
      <c r="A23" t="s">
        <v>6</v>
      </c>
      <c r="B23" t="s">
        <v>108</v>
      </c>
      <c r="C23" t="s">
        <v>12</v>
      </c>
      <c r="D23" t="s">
        <v>109</v>
      </c>
      <c r="E23" t="s">
        <v>110</v>
      </c>
      <c r="F23" t="s">
        <v>13</v>
      </c>
      <c r="G23" t="s">
        <v>17</v>
      </c>
      <c r="H23" t="s">
        <v>8</v>
      </c>
      <c r="I23">
        <v>5524</v>
      </c>
      <c r="J23">
        <v>3742</v>
      </c>
      <c r="L23">
        <v>3256</v>
      </c>
      <c r="M23">
        <v>2932</v>
      </c>
      <c r="N23" t="s">
        <v>111</v>
      </c>
      <c r="O23" t="s">
        <v>61</v>
      </c>
      <c r="P23" t="s">
        <v>112</v>
      </c>
      <c r="Q23" t="s">
        <v>100</v>
      </c>
      <c r="R23" t="s">
        <v>118</v>
      </c>
    </row>
    <row r="24" spans="1:18" x14ac:dyDescent="0.25">
      <c r="A24" t="s">
        <v>6</v>
      </c>
      <c r="B24" t="s">
        <v>108</v>
      </c>
      <c r="C24" t="s">
        <v>12</v>
      </c>
      <c r="D24" t="s">
        <v>109</v>
      </c>
      <c r="E24" t="s">
        <v>110</v>
      </c>
      <c r="F24" t="s">
        <v>74</v>
      </c>
      <c r="G24" t="s">
        <v>11</v>
      </c>
      <c r="H24" t="s">
        <v>8</v>
      </c>
      <c r="K24">
        <v>5632</v>
      </c>
      <c r="L24">
        <v>5308</v>
      </c>
      <c r="M24" t="s">
        <v>111</v>
      </c>
      <c r="N24" t="s">
        <v>61</v>
      </c>
      <c r="O24" t="s">
        <v>112</v>
      </c>
      <c r="P24" t="s">
        <v>100</v>
      </c>
      <c r="Q24" t="s">
        <v>119</v>
      </c>
    </row>
    <row r="25" spans="1:18" x14ac:dyDescent="0.25">
      <c r="A25" t="s">
        <v>6</v>
      </c>
      <c r="B25" t="s">
        <v>108</v>
      </c>
      <c r="C25" t="s">
        <v>12</v>
      </c>
      <c r="D25" t="s">
        <v>109</v>
      </c>
      <c r="E25" t="s">
        <v>110</v>
      </c>
      <c r="F25" t="s">
        <v>74</v>
      </c>
      <c r="G25" t="s">
        <v>15</v>
      </c>
      <c r="H25" t="s">
        <v>8</v>
      </c>
      <c r="K25">
        <v>5632</v>
      </c>
      <c r="L25">
        <v>5308</v>
      </c>
      <c r="M25" t="s">
        <v>111</v>
      </c>
      <c r="N25" t="s">
        <v>61</v>
      </c>
      <c r="O25" t="s">
        <v>112</v>
      </c>
      <c r="P25" t="s">
        <v>100</v>
      </c>
      <c r="Q25" t="s">
        <v>119</v>
      </c>
    </row>
    <row r="26" spans="1:18" x14ac:dyDescent="0.25">
      <c r="A26" t="s">
        <v>6</v>
      </c>
      <c r="B26" t="s">
        <v>108</v>
      </c>
      <c r="C26" t="s">
        <v>12</v>
      </c>
      <c r="D26" t="s">
        <v>109</v>
      </c>
      <c r="E26" t="s">
        <v>110</v>
      </c>
      <c r="F26" t="s">
        <v>74</v>
      </c>
      <c r="G26" t="s">
        <v>39</v>
      </c>
      <c r="H26" t="s">
        <v>8</v>
      </c>
      <c r="K26">
        <v>5362</v>
      </c>
      <c r="L26">
        <v>5038</v>
      </c>
      <c r="M26" t="s">
        <v>111</v>
      </c>
      <c r="N26" t="s">
        <v>61</v>
      </c>
      <c r="O26" t="s">
        <v>112</v>
      </c>
      <c r="P26" t="s">
        <v>100</v>
      </c>
      <c r="Q26" t="s">
        <v>119</v>
      </c>
    </row>
    <row r="27" spans="1:18" x14ac:dyDescent="0.25">
      <c r="A27" t="s">
        <v>6</v>
      </c>
      <c r="B27" t="s">
        <v>108</v>
      </c>
      <c r="C27" t="s">
        <v>12</v>
      </c>
      <c r="D27" t="s">
        <v>109</v>
      </c>
      <c r="E27" t="s">
        <v>110</v>
      </c>
      <c r="F27" t="s">
        <v>74</v>
      </c>
      <c r="G27" t="s">
        <v>16</v>
      </c>
      <c r="H27" t="s">
        <v>8</v>
      </c>
      <c r="K27">
        <v>5362</v>
      </c>
      <c r="L27">
        <v>5038</v>
      </c>
      <c r="M27" t="s">
        <v>111</v>
      </c>
      <c r="N27" t="s">
        <v>61</v>
      </c>
      <c r="O27" t="s">
        <v>112</v>
      </c>
      <c r="P27" t="s">
        <v>100</v>
      </c>
      <c r="Q27" t="s">
        <v>119</v>
      </c>
    </row>
    <row r="28" spans="1:18" x14ac:dyDescent="0.25">
      <c r="A28" t="s">
        <v>6</v>
      </c>
      <c r="B28" t="s">
        <v>108</v>
      </c>
      <c r="C28" t="s">
        <v>12</v>
      </c>
      <c r="D28" t="s">
        <v>109</v>
      </c>
      <c r="E28" t="s">
        <v>110</v>
      </c>
      <c r="F28" t="s">
        <v>74</v>
      </c>
      <c r="G28" t="s">
        <v>120</v>
      </c>
      <c r="H28" t="s">
        <v>8</v>
      </c>
      <c r="K28">
        <v>4984</v>
      </c>
      <c r="L28">
        <v>4660</v>
      </c>
      <c r="M28" t="s">
        <v>111</v>
      </c>
      <c r="N28" t="s">
        <v>61</v>
      </c>
      <c r="O28" t="s">
        <v>112</v>
      </c>
      <c r="P28" t="s">
        <v>100</v>
      </c>
      <c r="Q28" t="s">
        <v>119</v>
      </c>
    </row>
    <row r="29" spans="1:18" x14ac:dyDescent="0.25">
      <c r="A29" t="s">
        <v>6</v>
      </c>
      <c r="B29" t="s">
        <v>108</v>
      </c>
      <c r="C29" t="s">
        <v>12</v>
      </c>
      <c r="D29" t="s">
        <v>109</v>
      </c>
      <c r="E29" t="s">
        <v>110</v>
      </c>
      <c r="F29" t="s">
        <v>77</v>
      </c>
      <c r="G29" t="s">
        <v>11</v>
      </c>
      <c r="H29" t="s">
        <v>8</v>
      </c>
      <c r="K29">
        <v>5394</v>
      </c>
      <c r="L29">
        <v>4584</v>
      </c>
      <c r="M29" t="s">
        <v>111</v>
      </c>
      <c r="N29" t="s">
        <v>61</v>
      </c>
      <c r="O29" t="s">
        <v>112</v>
      </c>
      <c r="P29" t="s">
        <v>121</v>
      </c>
      <c r="Q29" t="s">
        <v>122</v>
      </c>
    </row>
    <row r="30" spans="1:18" x14ac:dyDescent="0.25">
      <c r="A30" t="s">
        <v>6</v>
      </c>
      <c r="B30" t="s">
        <v>108</v>
      </c>
      <c r="C30" t="s">
        <v>12</v>
      </c>
      <c r="D30" t="s">
        <v>109</v>
      </c>
      <c r="E30" t="s">
        <v>110</v>
      </c>
      <c r="F30" t="s">
        <v>77</v>
      </c>
      <c r="G30" t="s">
        <v>15</v>
      </c>
      <c r="H30" t="s">
        <v>8</v>
      </c>
      <c r="K30">
        <v>5394</v>
      </c>
      <c r="L30">
        <v>4584</v>
      </c>
      <c r="M30" t="s">
        <v>111</v>
      </c>
      <c r="N30" t="s">
        <v>61</v>
      </c>
      <c r="O30" t="s">
        <v>112</v>
      </c>
      <c r="P30" t="s">
        <v>121</v>
      </c>
      <c r="Q30" t="s">
        <v>122</v>
      </c>
    </row>
    <row r="31" spans="1:18" x14ac:dyDescent="0.25">
      <c r="A31" t="s">
        <v>6</v>
      </c>
      <c r="B31" t="s">
        <v>108</v>
      </c>
      <c r="C31" t="s">
        <v>12</v>
      </c>
      <c r="D31" t="s">
        <v>109</v>
      </c>
      <c r="E31" t="s">
        <v>110</v>
      </c>
      <c r="F31" t="s">
        <v>77</v>
      </c>
      <c r="G31" t="s">
        <v>39</v>
      </c>
      <c r="H31" t="s">
        <v>8</v>
      </c>
      <c r="K31">
        <v>5124</v>
      </c>
      <c r="L31">
        <v>4314</v>
      </c>
      <c r="M31" t="s">
        <v>111</v>
      </c>
      <c r="N31" t="s">
        <v>61</v>
      </c>
      <c r="O31" t="s">
        <v>112</v>
      </c>
      <c r="P31" t="s">
        <v>121</v>
      </c>
      <c r="Q31" t="s">
        <v>122</v>
      </c>
    </row>
    <row r="32" spans="1:18" x14ac:dyDescent="0.25">
      <c r="A32" t="s">
        <v>6</v>
      </c>
      <c r="B32" t="s">
        <v>108</v>
      </c>
      <c r="C32" t="s">
        <v>12</v>
      </c>
      <c r="D32" t="s">
        <v>109</v>
      </c>
      <c r="E32" t="s">
        <v>110</v>
      </c>
      <c r="F32" t="s">
        <v>77</v>
      </c>
      <c r="G32" t="s">
        <v>16</v>
      </c>
      <c r="H32" t="s">
        <v>8</v>
      </c>
      <c r="K32">
        <v>5124</v>
      </c>
      <c r="L32">
        <v>4314</v>
      </c>
      <c r="M32" t="s">
        <v>111</v>
      </c>
      <c r="N32" t="s">
        <v>61</v>
      </c>
      <c r="O32" t="s">
        <v>112</v>
      </c>
      <c r="P32" t="s">
        <v>121</v>
      </c>
      <c r="Q32" t="s">
        <v>122</v>
      </c>
    </row>
    <row r="33" spans="1:18" x14ac:dyDescent="0.25">
      <c r="A33" t="s">
        <v>6</v>
      </c>
      <c r="B33" t="s">
        <v>108</v>
      </c>
      <c r="C33" t="s">
        <v>12</v>
      </c>
      <c r="D33" t="s">
        <v>109</v>
      </c>
      <c r="E33" t="s">
        <v>110</v>
      </c>
      <c r="F33" t="s">
        <v>77</v>
      </c>
      <c r="G33" t="s">
        <v>120</v>
      </c>
      <c r="H33" t="s">
        <v>8</v>
      </c>
      <c r="K33">
        <v>4746</v>
      </c>
      <c r="L33">
        <v>3936</v>
      </c>
      <c r="M33" t="s">
        <v>111</v>
      </c>
      <c r="N33" t="s">
        <v>61</v>
      </c>
      <c r="O33" t="s">
        <v>112</v>
      </c>
      <c r="P33" t="s">
        <v>121</v>
      </c>
      <c r="Q33" t="s">
        <v>122</v>
      </c>
    </row>
    <row r="34" spans="1:18" x14ac:dyDescent="0.25">
      <c r="A34" t="s">
        <v>6</v>
      </c>
      <c r="B34" t="s">
        <v>108</v>
      </c>
      <c r="C34" t="s">
        <v>12</v>
      </c>
      <c r="D34" t="s">
        <v>109</v>
      </c>
      <c r="E34" t="s">
        <v>110</v>
      </c>
      <c r="F34" t="s">
        <v>91</v>
      </c>
      <c r="G34" t="s">
        <v>11</v>
      </c>
      <c r="H34" t="s">
        <v>8</v>
      </c>
      <c r="I34">
        <v>6550</v>
      </c>
      <c r="J34">
        <v>4768</v>
      </c>
      <c r="L34">
        <v>4282</v>
      </c>
      <c r="M34">
        <v>3958</v>
      </c>
      <c r="N34" t="s">
        <v>111</v>
      </c>
      <c r="O34" t="s">
        <v>61</v>
      </c>
      <c r="P34" t="s">
        <v>112</v>
      </c>
      <c r="Q34" t="s">
        <v>100</v>
      </c>
      <c r="R34">
        <f>260 / 200 / 140 / 120</f>
        <v>7.7380952380952389E-5</v>
      </c>
    </row>
    <row r="35" spans="1:18" x14ac:dyDescent="0.25">
      <c r="A35" t="s">
        <v>6</v>
      </c>
      <c r="B35" t="s">
        <v>108</v>
      </c>
      <c r="C35" t="s">
        <v>12</v>
      </c>
      <c r="D35" t="s">
        <v>109</v>
      </c>
      <c r="E35" t="s">
        <v>110</v>
      </c>
      <c r="F35" t="s">
        <v>91</v>
      </c>
      <c r="G35" t="s">
        <v>15</v>
      </c>
      <c r="H35" t="s">
        <v>8</v>
      </c>
      <c r="I35">
        <v>6550</v>
      </c>
      <c r="J35">
        <v>4768</v>
      </c>
      <c r="L35">
        <v>4282</v>
      </c>
      <c r="M35">
        <v>3958</v>
      </c>
      <c r="N35" t="s">
        <v>111</v>
      </c>
      <c r="O35" t="s">
        <v>61</v>
      </c>
      <c r="P35" t="s">
        <v>112</v>
      </c>
      <c r="Q35" t="s">
        <v>100</v>
      </c>
      <c r="R35" t="s">
        <v>123</v>
      </c>
    </row>
    <row r="36" spans="1:18" x14ac:dyDescent="0.25">
      <c r="A36" t="s">
        <v>6</v>
      </c>
      <c r="B36" t="s">
        <v>108</v>
      </c>
      <c r="C36" t="s">
        <v>12</v>
      </c>
      <c r="D36" t="s">
        <v>109</v>
      </c>
      <c r="E36" t="s">
        <v>110</v>
      </c>
      <c r="F36" t="s">
        <v>91</v>
      </c>
      <c r="G36" t="s">
        <v>39</v>
      </c>
      <c r="H36" t="s">
        <v>8</v>
      </c>
      <c r="I36">
        <v>6280</v>
      </c>
      <c r="J36">
        <v>4498</v>
      </c>
      <c r="L36">
        <v>4012</v>
      </c>
      <c r="M36">
        <v>3688</v>
      </c>
      <c r="N36" t="s">
        <v>111</v>
      </c>
      <c r="O36" t="s">
        <v>61</v>
      </c>
      <c r="P36" t="s">
        <v>112</v>
      </c>
      <c r="Q36" t="s">
        <v>100</v>
      </c>
      <c r="R36" t="s">
        <v>123</v>
      </c>
    </row>
    <row r="37" spans="1:18" x14ac:dyDescent="0.25">
      <c r="A37" t="s">
        <v>6</v>
      </c>
      <c r="B37" t="s">
        <v>108</v>
      </c>
      <c r="C37" t="s">
        <v>12</v>
      </c>
      <c r="D37" t="s">
        <v>109</v>
      </c>
      <c r="E37" t="s">
        <v>110</v>
      </c>
      <c r="F37" t="s">
        <v>91</v>
      </c>
      <c r="G37" t="s">
        <v>16</v>
      </c>
      <c r="H37" t="s">
        <v>8</v>
      </c>
      <c r="I37">
        <v>6280</v>
      </c>
      <c r="J37">
        <v>4498</v>
      </c>
      <c r="L37">
        <v>4012</v>
      </c>
      <c r="M37">
        <v>3688</v>
      </c>
      <c r="N37" t="s">
        <v>111</v>
      </c>
      <c r="O37" t="s">
        <v>61</v>
      </c>
      <c r="P37" t="s">
        <v>112</v>
      </c>
      <c r="Q37" t="s">
        <v>100</v>
      </c>
      <c r="R37" t="s">
        <v>123</v>
      </c>
    </row>
    <row r="38" spans="1:18" x14ac:dyDescent="0.25">
      <c r="A38" t="s">
        <v>6</v>
      </c>
      <c r="B38" t="s">
        <v>108</v>
      </c>
      <c r="C38" t="s">
        <v>12</v>
      </c>
      <c r="D38" t="s">
        <v>109</v>
      </c>
      <c r="E38" t="s">
        <v>110</v>
      </c>
      <c r="F38" t="s">
        <v>91</v>
      </c>
      <c r="G38" t="s">
        <v>120</v>
      </c>
      <c r="H38" t="s">
        <v>8</v>
      </c>
      <c r="I38">
        <v>5902</v>
      </c>
      <c r="J38">
        <v>4120</v>
      </c>
      <c r="L38">
        <v>3634</v>
      </c>
      <c r="M38">
        <v>3310</v>
      </c>
      <c r="N38" t="s">
        <v>111</v>
      </c>
      <c r="O38" t="s">
        <v>61</v>
      </c>
      <c r="P38" t="s">
        <v>112</v>
      </c>
      <c r="Q38" t="s">
        <v>100</v>
      </c>
      <c r="R38" t="s">
        <v>123</v>
      </c>
    </row>
    <row r="40" spans="1:18" x14ac:dyDescent="0.25">
      <c r="A40" t="s">
        <v>0</v>
      </c>
      <c r="B40" t="s">
        <v>1</v>
      </c>
      <c r="C40" t="s">
        <v>4</v>
      </c>
      <c r="D40" t="s">
        <v>2</v>
      </c>
      <c r="E40" t="s">
        <v>3</v>
      </c>
      <c r="F40" t="s">
        <v>5</v>
      </c>
      <c r="G40" t="s">
        <v>19</v>
      </c>
      <c r="H40" t="s">
        <v>20</v>
      </c>
      <c r="I40" t="s">
        <v>22</v>
      </c>
      <c r="J40" t="s">
        <v>23</v>
      </c>
      <c r="K40" t="s">
        <v>107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29</v>
      </c>
      <c r="R40" t="s">
        <v>10</v>
      </c>
    </row>
    <row r="41" spans="1:18" x14ac:dyDescent="0.25">
      <c r="A41" t="s">
        <v>6</v>
      </c>
      <c r="B41" t="s">
        <v>108</v>
      </c>
      <c r="C41" t="s">
        <v>124</v>
      </c>
      <c r="D41" t="s">
        <v>109</v>
      </c>
      <c r="E41" t="s">
        <v>110</v>
      </c>
      <c r="F41" t="s">
        <v>13</v>
      </c>
      <c r="G41" t="s">
        <v>11</v>
      </c>
      <c r="H41" t="s">
        <v>8</v>
      </c>
      <c r="I41">
        <v>3320</v>
      </c>
      <c r="J41">
        <v>2672</v>
      </c>
      <c r="L41">
        <v>2186</v>
      </c>
      <c r="M41">
        <v>1862</v>
      </c>
      <c r="N41" t="s">
        <v>111</v>
      </c>
      <c r="O41" t="s">
        <v>61</v>
      </c>
      <c r="P41" t="s">
        <v>112</v>
      </c>
      <c r="Q41" t="s">
        <v>57</v>
      </c>
      <c r="R41" t="s">
        <v>125</v>
      </c>
    </row>
    <row r="42" spans="1:18" x14ac:dyDescent="0.25">
      <c r="A42" t="s">
        <v>6</v>
      </c>
      <c r="B42" t="s">
        <v>108</v>
      </c>
      <c r="C42" t="s">
        <v>124</v>
      </c>
      <c r="D42" t="s">
        <v>109</v>
      </c>
      <c r="E42" t="s">
        <v>110</v>
      </c>
      <c r="F42" t="s">
        <v>13</v>
      </c>
      <c r="G42" t="s">
        <v>15</v>
      </c>
      <c r="H42" t="s">
        <v>8</v>
      </c>
      <c r="I42">
        <v>3320</v>
      </c>
      <c r="J42">
        <v>2672</v>
      </c>
      <c r="L42">
        <v>2186</v>
      </c>
      <c r="M42">
        <v>1862</v>
      </c>
      <c r="N42" t="s">
        <v>111</v>
      </c>
      <c r="O42" t="s">
        <v>61</v>
      </c>
      <c r="P42" t="s">
        <v>112</v>
      </c>
      <c r="Q42" t="s">
        <v>57</v>
      </c>
      <c r="R42" t="s">
        <v>125</v>
      </c>
    </row>
    <row r="43" spans="1:18" x14ac:dyDescent="0.25">
      <c r="A43" t="s">
        <v>6</v>
      </c>
      <c r="B43" t="s">
        <v>108</v>
      </c>
      <c r="C43" t="s">
        <v>124</v>
      </c>
      <c r="D43" t="s">
        <v>109</v>
      </c>
      <c r="E43" t="s">
        <v>110</v>
      </c>
      <c r="F43" t="s">
        <v>13</v>
      </c>
      <c r="G43" t="s">
        <v>39</v>
      </c>
      <c r="H43" t="s">
        <v>8</v>
      </c>
      <c r="I43">
        <v>3050</v>
      </c>
      <c r="J43">
        <v>2402</v>
      </c>
      <c r="L43">
        <v>1916</v>
      </c>
      <c r="M43">
        <v>1592</v>
      </c>
      <c r="N43" t="s">
        <v>111</v>
      </c>
      <c r="O43" t="s">
        <v>61</v>
      </c>
      <c r="P43" t="s">
        <v>112</v>
      </c>
      <c r="Q43" t="s">
        <v>57</v>
      </c>
      <c r="R43" t="s">
        <v>125</v>
      </c>
    </row>
    <row r="44" spans="1:18" x14ac:dyDescent="0.25">
      <c r="A44" t="s">
        <v>6</v>
      </c>
      <c r="B44" t="s">
        <v>108</v>
      </c>
      <c r="C44" t="s">
        <v>124</v>
      </c>
      <c r="D44" t="s">
        <v>109</v>
      </c>
      <c r="E44" t="s">
        <v>110</v>
      </c>
      <c r="F44" t="s">
        <v>13</v>
      </c>
      <c r="G44" t="s">
        <v>16</v>
      </c>
      <c r="H44" t="s">
        <v>8</v>
      </c>
      <c r="I44">
        <v>3050</v>
      </c>
      <c r="J44">
        <v>2402</v>
      </c>
      <c r="L44">
        <v>1916</v>
      </c>
      <c r="M44">
        <v>1592</v>
      </c>
      <c r="N44" t="s">
        <v>111</v>
      </c>
      <c r="O44" t="s">
        <v>61</v>
      </c>
      <c r="P44" t="s">
        <v>112</v>
      </c>
      <c r="Q44" t="s">
        <v>57</v>
      </c>
      <c r="R44" t="s">
        <v>125</v>
      </c>
    </row>
    <row r="45" spans="1:18" x14ac:dyDescent="0.25">
      <c r="A45" t="s">
        <v>6</v>
      </c>
      <c r="B45" t="s">
        <v>108</v>
      </c>
      <c r="C45" t="s">
        <v>124</v>
      </c>
      <c r="D45" t="s">
        <v>109</v>
      </c>
      <c r="E45" t="s">
        <v>110</v>
      </c>
      <c r="F45" t="s">
        <v>13</v>
      </c>
      <c r="G45" t="s">
        <v>48</v>
      </c>
      <c r="H45" t="s">
        <v>8</v>
      </c>
      <c r="I45">
        <v>2672</v>
      </c>
      <c r="J45">
        <v>2024</v>
      </c>
      <c r="L45">
        <v>1538</v>
      </c>
      <c r="M45">
        <v>1214</v>
      </c>
      <c r="N45" t="s">
        <v>111</v>
      </c>
      <c r="O45" t="s">
        <v>61</v>
      </c>
      <c r="P45" t="s">
        <v>112</v>
      </c>
      <c r="Q45" t="s">
        <v>57</v>
      </c>
      <c r="R45" t="s">
        <v>125</v>
      </c>
    </row>
    <row r="46" spans="1:18" x14ac:dyDescent="0.25">
      <c r="A46" t="s">
        <v>6</v>
      </c>
      <c r="B46" t="s">
        <v>108</v>
      </c>
      <c r="C46" t="s">
        <v>124</v>
      </c>
      <c r="D46" t="s">
        <v>109</v>
      </c>
      <c r="E46" t="s">
        <v>110</v>
      </c>
      <c r="F46" t="s">
        <v>13</v>
      </c>
      <c r="G46" t="s">
        <v>17</v>
      </c>
      <c r="H46" t="s">
        <v>8</v>
      </c>
      <c r="I46">
        <v>2294</v>
      </c>
      <c r="J46">
        <v>1646</v>
      </c>
      <c r="L46">
        <v>1160</v>
      </c>
      <c r="M46">
        <v>836</v>
      </c>
      <c r="N46" t="s">
        <v>111</v>
      </c>
      <c r="O46" t="s">
        <v>61</v>
      </c>
      <c r="P46" t="s">
        <v>112</v>
      </c>
      <c r="Q46" t="s">
        <v>57</v>
      </c>
      <c r="R46" t="s">
        <v>125</v>
      </c>
    </row>
    <row r="47" spans="1:18" x14ac:dyDescent="0.25">
      <c r="A47" t="s">
        <v>6</v>
      </c>
      <c r="B47" t="s">
        <v>108</v>
      </c>
      <c r="C47" t="s">
        <v>124</v>
      </c>
      <c r="D47" t="s">
        <v>109</v>
      </c>
      <c r="E47" t="s">
        <v>110</v>
      </c>
      <c r="F47" t="s">
        <v>74</v>
      </c>
      <c r="G47" t="s">
        <v>11</v>
      </c>
      <c r="H47" t="s">
        <v>8</v>
      </c>
      <c r="K47">
        <v>3104</v>
      </c>
      <c r="L47">
        <v>2780</v>
      </c>
      <c r="M47" t="s">
        <v>111</v>
      </c>
      <c r="N47" t="s">
        <v>61</v>
      </c>
      <c r="O47" t="s">
        <v>112</v>
      </c>
      <c r="P47" t="s">
        <v>57</v>
      </c>
      <c r="Q47" t="s">
        <v>126</v>
      </c>
    </row>
    <row r="48" spans="1:18" x14ac:dyDescent="0.25">
      <c r="A48" t="s">
        <v>6</v>
      </c>
      <c r="B48" t="s">
        <v>108</v>
      </c>
      <c r="C48" t="s">
        <v>124</v>
      </c>
      <c r="D48" t="s">
        <v>109</v>
      </c>
      <c r="E48" t="s">
        <v>110</v>
      </c>
      <c r="F48" t="s">
        <v>74</v>
      </c>
      <c r="G48" t="s">
        <v>15</v>
      </c>
      <c r="H48" t="s">
        <v>8</v>
      </c>
      <c r="K48">
        <v>3104</v>
      </c>
      <c r="L48">
        <v>2780</v>
      </c>
      <c r="M48" t="s">
        <v>111</v>
      </c>
      <c r="N48" t="s">
        <v>61</v>
      </c>
      <c r="O48" t="s">
        <v>112</v>
      </c>
      <c r="P48" t="s">
        <v>57</v>
      </c>
      <c r="Q48" t="s">
        <v>126</v>
      </c>
    </row>
    <row r="49" spans="1:18" x14ac:dyDescent="0.25">
      <c r="A49" t="s">
        <v>6</v>
      </c>
      <c r="B49" t="s">
        <v>108</v>
      </c>
      <c r="C49" t="s">
        <v>124</v>
      </c>
      <c r="D49" t="s">
        <v>109</v>
      </c>
      <c r="E49" t="s">
        <v>110</v>
      </c>
      <c r="F49" t="s">
        <v>74</v>
      </c>
      <c r="G49" t="s">
        <v>39</v>
      </c>
      <c r="H49" t="s">
        <v>8</v>
      </c>
      <c r="K49">
        <v>2834</v>
      </c>
      <c r="L49">
        <v>2510</v>
      </c>
      <c r="M49" t="s">
        <v>111</v>
      </c>
      <c r="N49" t="s">
        <v>61</v>
      </c>
      <c r="O49" t="s">
        <v>112</v>
      </c>
      <c r="P49" t="s">
        <v>57</v>
      </c>
      <c r="Q49" t="s">
        <v>126</v>
      </c>
    </row>
    <row r="50" spans="1:18" x14ac:dyDescent="0.25">
      <c r="A50" t="s">
        <v>6</v>
      </c>
      <c r="B50" t="s">
        <v>108</v>
      </c>
      <c r="C50" t="s">
        <v>124</v>
      </c>
      <c r="D50" t="s">
        <v>109</v>
      </c>
      <c r="E50" t="s">
        <v>110</v>
      </c>
      <c r="F50" t="s">
        <v>74</v>
      </c>
      <c r="G50" t="s">
        <v>16</v>
      </c>
      <c r="H50" t="s">
        <v>8</v>
      </c>
      <c r="K50">
        <v>2456</v>
      </c>
      <c r="L50">
        <v>2132</v>
      </c>
      <c r="M50" t="s">
        <v>111</v>
      </c>
      <c r="N50" t="s">
        <v>61</v>
      </c>
      <c r="O50" t="s">
        <v>112</v>
      </c>
      <c r="P50" t="s">
        <v>57</v>
      </c>
      <c r="Q50" t="s">
        <v>126</v>
      </c>
    </row>
    <row r="51" spans="1:18" x14ac:dyDescent="0.25">
      <c r="A51" t="s">
        <v>6</v>
      </c>
      <c r="B51" t="s">
        <v>108</v>
      </c>
      <c r="C51" t="s">
        <v>124</v>
      </c>
      <c r="D51" t="s">
        <v>109</v>
      </c>
      <c r="E51" t="s">
        <v>110</v>
      </c>
      <c r="F51" t="s">
        <v>74</v>
      </c>
      <c r="G51" t="s">
        <v>120</v>
      </c>
      <c r="H51" t="s">
        <v>8</v>
      </c>
      <c r="K51">
        <v>2078</v>
      </c>
      <c r="L51">
        <v>1754</v>
      </c>
      <c r="M51" t="s">
        <v>111</v>
      </c>
      <c r="N51" t="s">
        <v>61</v>
      </c>
      <c r="O51" t="s">
        <v>112</v>
      </c>
      <c r="P51" t="s">
        <v>57</v>
      </c>
      <c r="Q51" t="s">
        <v>126</v>
      </c>
    </row>
    <row r="52" spans="1:18" x14ac:dyDescent="0.25">
      <c r="A52" t="s">
        <v>6</v>
      </c>
      <c r="B52" t="s">
        <v>108</v>
      </c>
      <c r="C52" t="s">
        <v>124</v>
      </c>
      <c r="D52" t="s">
        <v>109</v>
      </c>
      <c r="E52" t="s">
        <v>110</v>
      </c>
      <c r="F52" t="s">
        <v>77</v>
      </c>
      <c r="G52" t="s">
        <v>87</v>
      </c>
      <c r="H52" t="s">
        <v>8</v>
      </c>
      <c r="K52">
        <v>3298</v>
      </c>
      <c r="L52">
        <v>2488</v>
      </c>
      <c r="M52" t="s">
        <v>127</v>
      </c>
      <c r="N52" t="s">
        <v>61</v>
      </c>
      <c r="O52" t="s">
        <v>112</v>
      </c>
      <c r="P52" t="s">
        <v>57</v>
      </c>
      <c r="Q52" t="s">
        <v>122</v>
      </c>
    </row>
    <row r="53" spans="1:18" x14ac:dyDescent="0.25">
      <c r="A53" t="s">
        <v>6</v>
      </c>
      <c r="B53" t="s">
        <v>108</v>
      </c>
      <c r="C53" t="s">
        <v>124</v>
      </c>
      <c r="D53" t="s">
        <v>109</v>
      </c>
      <c r="E53" t="s">
        <v>110</v>
      </c>
      <c r="F53" t="s">
        <v>77</v>
      </c>
      <c r="G53" t="s">
        <v>11</v>
      </c>
      <c r="H53" t="s">
        <v>8</v>
      </c>
      <c r="K53">
        <v>3298</v>
      </c>
      <c r="L53">
        <v>2488</v>
      </c>
      <c r="M53" t="s">
        <v>127</v>
      </c>
      <c r="N53" t="s">
        <v>61</v>
      </c>
      <c r="O53" t="s">
        <v>112</v>
      </c>
      <c r="P53" t="s">
        <v>57</v>
      </c>
      <c r="Q53" t="s">
        <v>122</v>
      </c>
    </row>
    <row r="54" spans="1:18" x14ac:dyDescent="0.25">
      <c r="A54" t="s">
        <v>6</v>
      </c>
      <c r="B54" t="s">
        <v>108</v>
      </c>
      <c r="C54" t="s">
        <v>124</v>
      </c>
      <c r="D54" t="s">
        <v>109</v>
      </c>
      <c r="E54" t="s">
        <v>110</v>
      </c>
      <c r="F54" t="s">
        <v>77</v>
      </c>
      <c r="G54" t="s">
        <v>15</v>
      </c>
      <c r="H54" t="s">
        <v>8</v>
      </c>
      <c r="K54">
        <v>3298</v>
      </c>
      <c r="L54">
        <v>2488</v>
      </c>
      <c r="M54" t="s">
        <v>127</v>
      </c>
      <c r="N54" t="s">
        <v>61</v>
      </c>
      <c r="O54" t="s">
        <v>112</v>
      </c>
      <c r="P54" t="s">
        <v>57</v>
      </c>
      <c r="Q54" t="s">
        <v>122</v>
      </c>
    </row>
    <row r="55" spans="1:18" x14ac:dyDescent="0.25">
      <c r="A55" t="s">
        <v>6</v>
      </c>
      <c r="B55" t="s">
        <v>108</v>
      </c>
      <c r="C55" t="s">
        <v>124</v>
      </c>
      <c r="D55" t="s">
        <v>109</v>
      </c>
      <c r="E55" t="s">
        <v>110</v>
      </c>
      <c r="F55" t="s">
        <v>77</v>
      </c>
      <c r="G55" t="s">
        <v>16</v>
      </c>
      <c r="H55" t="s">
        <v>8</v>
      </c>
      <c r="K55">
        <v>3028</v>
      </c>
      <c r="L55">
        <v>2218</v>
      </c>
      <c r="M55" t="s">
        <v>127</v>
      </c>
      <c r="N55" t="s">
        <v>61</v>
      </c>
      <c r="O55" t="s">
        <v>112</v>
      </c>
      <c r="P55" t="s">
        <v>57</v>
      </c>
      <c r="Q55" t="s">
        <v>122</v>
      </c>
    </row>
    <row r="56" spans="1:18" x14ac:dyDescent="0.25">
      <c r="A56" t="s">
        <v>6</v>
      </c>
      <c r="B56" t="s">
        <v>108</v>
      </c>
      <c r="C56" t="s">
        <v>124</v>
      </c>
      <c r="D56" t="s">
        <v>109</v>
      </c>
      <c r="E56" t="s">
        <v>110</v>
      </c>
      <c r="F56" t="s">
        <v>77</v>
      </c>
      <c r="G56" t="s">
        <v>120</v>
      </c>
      <c r="H56" t="s">
        <v>8</v>
      </c>
      <c r="K56">
        <v>2650</v>
      </c>
      <c r="L56">
        <v>1840</v>
      </c>
      <c r="M56" t="s">
        <v>127</v>
      </c>
      <c r="N56" t="s">
        <v>61</v>
      </c>
      <c r="O56" t="s">
        <v>112</v>
      </c>
      <c r="P56" t="s">
        <v>57</v>
      </c>
      <c r="Q56" t="s">
        <v>122</v>
      </c>
    </row>
    <row r="57" spans="1:18" x14ac:dyDescent="0.25">
      <c r="A57" t="s">
        <v>6</v>
      </c>
      <c r="B57" t="s">
        <v>108</v>
      </c>
      <c r="C57" t="s">
        <v>124</v>
      </c>
      <c r="D57" t="s">
        <v>109</v>
      </c>
      <c r="E57" t="s">
        <v>110</v>
      </c>
      <c r="F57" t="s">
        <v>91</v>
      </c>
      <c r="G57" t="s">
        <v>11</v>
      </c>
      <c r="H57" t="s">
        <v>8</v>
      </c>
      <c r="I57">
        <v>3320</v>
      </c>
      <c r="J57">
        <v>2672</v>
      </c>
      <c r="L57">
        <v>2186</v>
      </c>
      <c r="M57">
        <v>1862</v>
      </c>
      <c r="N57" t="s">
        <v>111</v>
      </c>
      <c r="O57" t="s">
        <v>61</v>
      </c>
      <c r="P57" t="s">
        <v>112</v>
      </c>
      <c r="Q57" t="s">
        <v>57</v>
      </c>
      <c r="R57">
        <f>260 / 200 / 140 / 120</f>
        <v>7.7380952380952389E-5</v>
      </c>
    </row>
    <row r="58" spans="1:18" x14ac:dyDescent="0.25">
      <c r="A58" t="s">
        <v>6</v>
      </c>
      <c r="B58" t="s">
        <v>108</v>
      </c>
      <c r="C58" t="s">
        <v>124</v>
      </c>
      <c r="D58" t="s">
        <v>109</v>
      </c>
      <c r="E58" t="s">
        <v>110</v>
      </c>
      <c r="F58" t="s">
        <v>91</v>
      </c>
      <c r="G58" t="s">
        <v>15</v>
      </c>
      <c r="H58" t="s">
        <v>8</v>
      </c>
      <c r="I58">
        <v>3320</v>
      </c>
      <c r="J58">
        <v>2672</v>
      </c>
      <c r="L58">
        <v>2186</v>
      </c>
      <c r="M58">
        <v>1862</v>
      </c>
      <c r="N58" t="s">
        <v>111</v>
      </c>
      <c r="O58" t="s">
        <v>61</v>
      </c>
      <c r="P58" t="s">
        <v>112</v>
      </c>
      <c r="Q58" t="s">
        <v>57</v>
      </c>
      <c r="R58" t="s">
        <v>123</v>
      </c>
    </row>
    <row r="59" spans="1:18" x14ac:dyDescent="0.25">
      <c r="A59" t="s">
        <v>6</v>
      </c>
      <c r="B59" t="s">
        <v>108</v>
      </c>
      <c r="C59" t="s">
        <v>124</v>
      </c>
      <c r="D59" t="s">
        <v>109</v>
      </c>
      <c r="E59" t="s">
        <v>110</v>
      </c>
      <c r="F59" t="s">
        <v>91</v>
      </c>
      <c r="G59" t="s">
        <v>39</v>
      </c>
      <c r="H59" t="s">
        <v>8</v>
      </c>
      <c r="I59">
        <v>3050</v>
      </c>
      <c r="J59">
        <v>2402</v>
      </c>
      <c r="L59">
        <v>1916</v>
      </c>
      <c r="M59">
        <v>1592</v>
      </c>
      <c r="N59" t="s">
        <v>111</v>
      </c>
      <c r="O59" t="s">
        <v>61</v>
      </c>
      <c r="P59" t="s">
        <v>112</v>
      </c>
      <c r="Q59" t="s">
        <v>57</v>
      </c>
      <c r="R59" t="s">
        <v>123</v>
      </c>
    </row>
    <row r="60" spans="1:18" x14ac:dyDescent="0.25">
      <c r="A60" t="s">
        <v>6</v>
      </c>
      <c r="B60" t="s">
        <v>108</v>
      </c>
      <c r="C60" t="s">
        <v>124</v>
      </c>
      <c r="D60" t="s">
        <v>109</v>
      </c>
      <c r="E60" t="s">
        <v>110</v>
      </c>
      <c r="F60" t="s">
        <v>91</v>
      </c>
      <c r="G60" t="s">
        <v>16</v>
      </c>
      <c r="H60" t="s">
        <v>8</v>
      </c>
      <c r="I60">
        <v>3050</v>
      </c>
      <c r="J60">
        <v>2402</v>
      </c>
      <c r="L60">
        <v>1916</v>
      </c>
      <c r="M60">
        <v>1592</v>
      </c>
      <c r="N60" t="s">
        <v>111</v>
      </c>
      <c r="O60" t="s">
        <v>61</v>
      </c>
      <c r="P60" t="s">
        <v>112</v>
      </c>
      <c r="Q60" t="s">
        <v>57</v>
      </c>
      <c r="R60" t="s">
        <v>123</v>
      </c>
    </row>
    <row r="61" spans="1:18" x14ac:dyDescent="0.25">
      <c r="A61" t="s">
        <v>6</v>
      </c>
      <c r="B61" t="s">
        <v>108</v>
      </c>
      <c r="C61" t="s">
        <v>124</v>
      </c>
      <c r="D61" t="s">
        <v>109</v>
      </c>
      <c r="E61" t="s">
        <v>110</v>
      </c>
      <c r="F61" t="s">
        <v>91</v>
      </c>
      <c r="G61" t="s">
        <v>120</v>
      </c>
      <c r="H61" t="s">
        <v>8</v>
      </c>
      <c r="I61">
        <v>2672</v>
      </c>
      <c r="J61">
        <v>2024</v>
      </c>
      <c r="L61">
        <v>1538</v>
      </c>
      <c r="M61">
        <v>1214</v>
      </c>
      <c r="N61" t="s">
        <v>111</v>
      </c>
      <c r="O61" t="s">
        <v>61</v>
      </c>
      <c r="P61" t="s">
        <v>112</v>
      </c>
      <c r="Q61" t="s">
        <v>57</v>
      </c>
      <c r="R61" t="s">
        <v>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95A06-0B3F-4421-887C-23184B8FC615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customXml/itemProps2.xml><?xml version="1.0" encoding="utf-8"?>
<ds:datastoreItem xmlns:ds="http://schemas.openxmlformats.org/officeDocument/2006/customXml" ds:itemID="{3681346A-9F3F-4370-B842-EC50F139F6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8969A4-521F-47B7-9672-732F2F0D0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vs</vt:lpstr>
      <vt:lpstr>ocupacional</vt:lpstr>
      <vt:lpstr>especiais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2026-01-27T14:02:11Z</dcterms:created>
  <dcterms:modified xsi:type="dcterms:W3CDTF">2026-01-28T16:13:24Z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  <property fmtid="{D5CDD505-2E9C-101B-9397-08002B2CF9AE}" pid="3" name="MediaServiceImageTags">
    <vt:lpwstr/>
  </property>
</Properties>
</file>